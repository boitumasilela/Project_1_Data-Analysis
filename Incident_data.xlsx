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\\ltdc02\Users$\Tumim\My Pictures\Github\"/>
    </mc:Choice>
  </mc:AlternateContent>
  <xr:revisionPtr revIDLastSave="0" documentId="13_ncr:1_{AD61AA80-FFE8-44A1-8AD9-A026A5FA420C}" xr6:coauthVersionLast="47" xr6:coauthVersionMax="47" xr10:uidLastSave="{00000000-0000-0000-0000-000000000000}"/>
  <bookViews>
    <workbookView xWindow="-120" yWindow="-120" windowWidth="24240" windowHeight="13140" tabRatio="881" firstSheet="7" activeTab="7" xr2:uid="{00000000-000D-0000-FFFF-FFFF00000000}"/>
  </bookViews>
  <sheets>
    <sheet name="Injury.Dept" sheetId="34" state="hidden" r:id="rId1"/>
    <sheet name="Injury type" sheetId="18" state="hidden" r:id="rId2"/>
    <sheet name="DATATABLE" sheetId="13" state="hidden" r:id="rId3"/>
    <sheet name="LTI" sheetId="16" state="hidden" r:id="rId4"/>
    <sheet name="IOD TIMELOST" sheetId="30" state="hidden" r:id="rId5"/>
    <sheet name="Day of incident" sheetId="31" state="hidden" r:id="rId6"/>
    <sheet name="NO OF IOD" sheetId="29" state="hidden" r:id="rId7"/>
    <sheet name="SAFETY DATA" sheetId="14" r:id="rId8"/>
    <sheet name="Day of incident (2)" sheetId="35" state="hidden" r:id="rId9"/>
    <sheet name="Safety" sheetId="5" state="hidden" r:id="rId10"/>
    <sheet name="Part Values" sheetId="21" state="hidden" r:id="rId11"/>
    <sheet name="Master Sheet" sheetId="28" state="hidden" r:id="rId12"/>
    <sheet name="Incident Category" sheetId="32" state="hidden" r:id="rId13"/>
  </sheets>
  <externalReferences>
    <externalReference r:id="rId14"/>
    <externalReference r:id="rId15"/>
  </externalReferences>
  <definedNames>
    <definedName name="_xlnm._FilterDatabase" localSheetId="7" hidden="1">'SAFETY DATA'!$A$1:$M$58</definedName>
    <definedName name="_xlcn.WorksheetConnection_LGMScrapRepMay24WIP.xlsxTable21" hidden="1">Table2</definedName>
    <definedName name="_xlnm.Print_Area" localSheetId="9">Safety!$A$1:$N$52</definedName>
  </definedNames>
  <calcPr calcId="191029"/>
  <pivotCaches>
    <pivotCache cacheId="0" r:id="rId16"/>
    <pivotCache cacheId="1" r:id="rId17"/>
    <pivotCache cacheId="2" r:id="rId18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LGM  Scrap Rep May 24 WIP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8" i="14" l="1"/>
  <c r="V8" i="14" s="1"/>
  <c r="T9" i="14"/>
  <c r="V9" i="14" s="1"/>
  <c r="T10" i="14"/>
  <c r="V10" i="14" s="1"/>
  <c r="T11" i="14"/>
  <c r="V11" i="14" s="1"/>
  <c r="T12" i="14"/>
  <c r="V12" i="14" s="1"/>
  <c r="T13" i="14"/>
  <c r="V13" i="14" s="1"/>
  <c r="T14" i="14"/>
  <c r="V14" i="14" s="1"/>
  <c r="T15" i="14"/>
  <c r="V15" i="14" s="1"/>
  <c r="T16" i="14"/>
  <c r="V16" i="14" s="1"/>
  <c r="T17" i="14"/>
  <c r="V17" i="14" s="1"/>
  <c r="T18" i="14"/>
  <c r="V18" i="14" s="1"/>
  <c r="T19" i="14"/>
  <c r="V19" i="14" s="1"/>
  <c r="T5" i="14"/>
  <c r="V5" i="14" s="1"/>
  <c r="T6" i="14"/>
  <c r="V6" i="14" s="1"/>
  <c r="T7" i="14"/>
  <c r="V7" i="14" s="1"/>
  <c r="T4" i="14" l="1"/>
  <c r="V4" i="14" s="1"/>
  <c r="O15" i="14" l="1"/>
  <c r="T3" i="14"/>
  <c r="V3" i="14" s="1"/>
  <c r="T2" i="14"/>
  <c r="V2" i="14" s="1"/>
  <c r="E10" i="5" l="1"/>
  <c r="N83" i="5"/>
  <c r="N80" i="5"/>
  <c r="N82" i="5"/>
  <c r="F4" i="5"/>
  <c r="E4" i="5"/>
  <c r="F7" i="5"/>
  <c r="E7" i="5"/>
  <c r="F10" i="5" l="1"/>
  <c r="D10" i="5"/>
  <c r="N79" i="5"/>
  <c r="N78" i="5"/>
  <c r="N76" i="5"/>
  <c r="N75" i="5"/>
  <c r="N74" i="5"/>
  <c r="N72" i="5"/>
  <c r="N71" i="5"/>
  <c r="N70" i="5"/>
  <c r="N68" i="5"/>
  <c r="N67" i="5"/>
  <c r="N66" i="5"/>
  <c r="N64" i="5"/>
  <c r="N63" i="5"/>
  <c r="N62" i="5"/>
  <c r="N60" i="5"/>
  <c r="N59" i="5"/>
  <c r="N58" i="5"/>
  <c r="N56" i="5"/>
  <c r="N52" i="5"/>
  <c r="N51" i="5"/>
  <c r="N50" i="5"/>
  <c r="N48" i="5"/>
  <c r="N47" i="5"/>
  <c r="N46" i="5"/>
  <c r="N44" i="5"/>
  <c r="N43" i="5"/>
  <c r="N42" i="5"/>
  <c r="N40" i="5"/>
  <c r="N39" i="5"/>
  <c r="N38" i="5"/>
  <c r="N36" i="5"/>
  <c r="N34" i="5"/>
  <c r="N33" i="5"/>
  <c r="N31" i="5"/>
  <c r="N30" i="5"/>
  <c r="N29" i="5"/>
  <c r="N27" i="5"/>
  <c r="D11" i="5"/>
  <c r="C1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B621E4-5960-4694-8F36-D9AD2FD948FE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6DCCABF-ECF6-40D4-B272-4DC9C0B84520}" name="WorksheetConnection_LGM  Scrap Rep May 24 WIP.xlsx!Table2" type="102" refreshedVersion="7" minRefreshableVersion="5" background="1" saveData="1">
    <extLst>
      <ext xmlns:x15="http://schemas.microsoft.com/office/spreadsheetml/2010/11/main" uri="{DE250136-89BD-433C-8126-D09CA5730AF9}">
        <x15:connection id="Table2">
          <x15:rangePr sourceName="_xlcn.WorksheetConnection_LGMScrapRepMay24WIP.xlsxTable21"/>
        </x15:connection>
      </ext>
    </extLst>
  </connection>
</connections>
</file>

<file path=xl/sharedStrings.xml><?xml version="1.0" encoding="utf-8"?>
<sst xmlns="http://schemas.openxmlformats.org/spreadsheetml/2006/main" count="788" uniqueCount="399">
  <si>
    <t xml:space="preserve">                                                      Comments</t>
  </si>
  <si>
    <t>YTD Breakdown of IOD's</t>
  </si>
  <si>
    <t>Jan</t>
  </si>
  <si>
    <t>Apl</t>
  </si>
  <si>
    <t>2010-2011</t>
  </si>
  <si>
    <t>Reason</t>
  </si>
  <si>
    <t>HAND</t>
  </si>
  <si>
    <t>ELBOW</t>
  </si>
  <si>
    <t>BACK</t>
  </si>
  <si>
    <t>FOOT</t>
  </si>
  <si>
    <t>MTD Hours</t>
  </si>
  <si>
    <t>MTD Cost</t>
  </si>
  <si>
    <t>2011-2012</t>
  </si>
  <si>
    <t>EYE/HAND</t>
  </si>
  <si>
    <t>HANDS</t>
  </si>
  <si>
    <t>KNEE</t>
  </si>
  <si>
    <t>5. SAFETY</t>
  </si>
  <si>
    <t>5.1 IOD'S</t>
  </si>
  <si>
    <t>ADMIN</t>
  </si>
  <si>
    <t>COST CODE</t>
  </si>
  <si>
    <t>I.O.D.HRS</t>
  </si>
  <si>
    <t>I.O.D.
RAND COST</t>
  </si>
  <si>
    <t>I.O.D.
HRS Y.T.D.</t>
  </si>
  <si>
    <t>I.O.D. 
RAND COST Y.T.D.</t>
  </si>
  <si>
    <t xml:space="preserve">QUALITY </t>
  </si>
  <si>
    <t>MAINTENANCE</t>
  </si>
  <si>
    <t>WAREHOUSE</t>
  </si>
  <si>
    <t>July 011 to June 2012</t>
  </si>
  <si>
    <t>Sep</t>
  </si>
  <si>
    <t>July</t>
  </si>
  <si>
    <t>DEPARTMENT</t>
  </si>
  <si>
    <t>Feb</t>
  </si>
  <si>
    <t>Mar</t>
  </si>
  <si>
    <t>May</t>
  </si>
  <si>
    <t>June</t>
  </si>
  <si>
    <t>Aug</t>
  </si>
  <si>
    <t>Oct</t>
  </si>
  <si>
    <t>Nov</t>
  </si>
  <si>
    <t>Dec</t>
  </si>
  <si>
    <t xml:space="preserve"> </t>
  </si>
  <si>
    <t>HAMMERS</t>
  </si>
  <si>
    <t>IRON TOOLS</t>
  </si>
  <si>
    <t>CRACK</t>
  </si>
  <si>
    <t>PROD DESCRIPTION</t>
  </si>
  <si>
    <t>H.T.</t>
  </si>
  <si>
    <t>EYE</t>
  </si>
  <si>
    <t>2EYE/HAND</t>
  </si>
  <si>
    <t>July 013 to June 2014</t>
  </si>
  <si>
    <t>July 012 to June 2013</t>
  </si>
  <si>
    <t>FOOT/KNEE</t>
  </si>
  <si>
    <t>FINGER</t>
  </si>
  <si>
    <t>NECK</t>
  </si>
  <si>
    <t>LEG</t>
  </si>
  <si>
    <t>2013-2014</t>
  </si>
  <si>
    <t>FOREHEAD</t>
  </si>
  <si>
    <t>Back</t>
  </si>
  <si>
    <t>July 014 to June 2015</t>
  </si>
  <si>
    <t>2012-2013</t>
  </si>
  <si>
    <t>2014-2015</t>
  </si>
  <si>
    <t>ARM</t>
  </si>
  <si>
    <t>July 010 to June 2011</t>
  </si>
  <si>
    <t>EYE/LEG</t>
  </si>
  <si>
    <t>July 015 to June 2016</t>
  </si>
  <si>
    <t>YTD TOTALS</t>
  </si>
  <si>
    <t>EYE/ HAND</t>
  </si>
  <si>
    <t>2015 - 2016</t>
  </si>
  <si>
    <t>2016 - 2017</t>
  </si>
  <si>
    <t>2017 - 2018</t>
  </si>
  <si>
    <t>July 018 to June 2019</t>
  </si>
  <si>
    <t>July 017 to June 2018</t>
  </si>
  <si>
    <t>July 016 to June 2017</t>
  </si>
  <si>
    <t>2018 - 2019</t>
  </si>
  <si>
    <t>back/leg</t>
  </si>
  <si>
    <t>eye</t>
  </si>
  <si>
    <t>OTHER</t>
  </si>
  <si>
    <t>Rib</t>
  </si>
  <si>
    <t>rib/back</t>
  </si>
  <si>
    <t>July 019 to June 2020</t>
  </si>
  <si>
    <t>2019 - 2020</t>
  </si>
  <si>
    <t>Knife Double Edge Slasher</t>
  </si>
  <si>
    <t>Rake Combination</t>
  </si>
  <si>
    <t>Chisel Flat Cold 25x350</t>
  </si>
  <si>
    <t>Bar Tommy 20x600mm</t>
  </si>
  <si>
    <t>Bar Wrecking 20x450mm</t>
  </si>
  <si>
    <t>Bar Wrecking 20x600mm</t>
  </si>
  <si>
    <t>Bar Wrecking 20x750mm</t>
  </si>
  <si>
    <t>Bar Wrecking 20x900mm</t>
  </si>
  <si>
    <t>July 020 to June 2021</t>
  </si>
  <si>
    <t>2020 - 2021</t>
  </si>
  <si>
    <t>Back/Finger</t>
  </si>
  <si>
    <t>July 021 to June 2022</t>
  </si>
  <si>
    <t>2021 - 2022</t>
  </si>
  <si>
    <t>FEET</t>
  </si>
  <si>
    <t>Ham Sledge 1.8kg RW Wood</t>
  </si>
  <si>
    <t>Ham Sledge 3.6kg RW Wood</t>
  </si>
  <si>
    <t>Ham Sledge 4.5kg RW Wood</t>
  </si>
  <si>
    <t>Ham Sledge 6.3kg RW Wood</t>
  </si>
  <si>
    <t>Ham Boiler Scaling 500g</t>
  </si>
  <si>
    <t>Ham Jointer 225g Wood</t>
  </si>
  <si>
    <t>Ham Claw 500g Poly</t>
  </si>
  <si>
    <t>Ham Claw 500g RW Wood</t>
  </si>
  <si>
    <t>Ham Claw 600g RW Wood</t>
  </si>
  <si>
    <t>Ham Claw 600g S/C Poly Handle</t>
  </si>
  <si>
    <t>Ham Claw 700g RW Wood</t>
  </si>
  <si>
    <t>Ham Claw 700g S/C Poly Handle</t>
  </si>
  <si>
    <t>Ham BP 100g RW Wood</t>
  </si>
  <si>
    <t>Ham BP 200g RW Wood</t>
  </si>
  <si>
    <t>Ham BP 300g RW Wood</t>
  </si>
  <si>
    <t>Ham BP 300g N/C Soft Grip</t>
  </si>
  <si>
    <t>Ham BP 500g Rw Wood</t>
  </si>
  <si>
    <t>Ham BP 500g N/C Soft Grip</t>
  </si>
  <si>
    <t>Ham BP 700g RW Wood</t>
  </si>
  <si>
    <t>Ham BP 700g N/C Soft Grip</t>
  </si>
  <si>
    <t>Ham BP 900g RW Wood</t>
  </si>
  <si>
    <t>Ham BP 900g N/C Soft Grip</t>
  </si>
  <si>
    <t>Ham BP 1100g RW Wood</t>
  </si>
  <si>
    <t>Ham BP 1100 N/C Soft Grip</t>
  </si>
  <si>
    <t>Ham Club 1.1kg Wood</t>
  </si>
  <si>
    <t>Ham Club 1.1kg S/C Soft Grip</t>
  </si>
  <si>
    <t>Ham Club 1.8kg Wood</t>
  </si>
  <si>
    <t>Ham Club 1.8kg S/C Soft Grip</t>
  </si>
  <si>
    <t>Ham Brick Chisel Wood</t>
  </si>
  <si>
    <t>Ham Scutch Wood</t>
  </si>
  <si>
    <t>Ham Scutch S/C Soft Grip</t>
  </si>
  <si>
    <t>Ham Din 500g Wood</t>
  </si>
  <si>
    <t>Ham Drill 1.8kg CCL Heads</t>
  </si>
  <si>
    <t>Ham Sledge 3.6kg CCL Heads</t>
  </si>
  <si>
    <t>Ham Sledge 10lb CCL Heads</t>
  </si>
  <si>
    <t>Ham Club 2.5lb CCL Heads</t>
  </si>
  <si>
    <t>Ham Club 1.8kg CCL Heads</t>
  </si>
  <si>
    <t>Ham Drill 1.8kg P/Handle Black</t>
  </si>
  <si>
    <t>Ham Sledge 1.8kg .S/C Soft Grip</t>
  </si>
  <si>
    <t>Ham Sledge 3.6kg S/C Soft Grip</t>
  </si>
  <si>
    <t>Ham Sledge 4.5kg  S/C Soft Grip</t>
  </si>
  <si>
    <t>Ham Sledge 6.3kg S/C Soft Grip</t>
  </si>
  <si>
    <t>Ham Sledge 3.6kg P/Handle Black CCL</t>
  </si>
  <si>
    <t>Ham Sledge 4.5kg P/Handle Black CCL</t>
  </si>
  <si>
    <t>Ham Sledge 6.3kg P/Handle Black CCL</t>
  </si>
  <si>
    <t>Ham log Splitter 2.5kg S/C 800</t>
  </si>
  <si>
    <t>Ham Sledge 1.4kg Copper</t>
  </si>
  <si>
    <t>Ham Sledge 1.8kg Copper</t>
  </si>
  <si>
    <t>Ham Sledge 3.6kg Copper</t>
  </si>
  <si>
    <t>Ham Sledge 6.3kg Copper</t>
  </si>
  <si>
    <t>Combo Ham Club 1.1 &amp; Elec Bolster</t>
  </si>
  <si>
    <t>Combo Ham Club 1.8 &amp; Brick Bolster</t>
  </si>
  <si>
    <t>Axe 0.9kg P/Handle yellow</t>
  </si>
  <si>
    <t>Axe 1.8kg P/Handle yellow</t>
  </si>
  <si>
    <t>Combo Rake &amp; Broom</t>
  </si>
  <si>
    <t>Hammer Chipping</t>
  </si>
  <si>
    <t>HDL  Drill 1.8 kg CB Poly Black</t>
  </si>
  <si>
    <t xml:space="preserve">HDLSledge  3.6kg  Poly   Black </t>
  </si>
  <si>
    <t xml:space="preserve">HDLSledge  6.3kg  Poly   Black </t>
  </si>
  <si>
    <t>HDL BP  700/1100g Poly  N/C Yellow</t>
  </si>
  <si>
    <t xml:space="preserve">HDL Scutch  Poly S/C Soft Grip </t>
  </si>
  <si>
    <t xml:space="preserve">HDL Axe 900g Poly N/C Yellow </t>
  </si>
  <si>
    <t>HDL Axe 1.8kg Poly S/C Yellow</t>
  </si>
  <si>
    <t>HDL Claw  Poly S/C Soft Grip</t>
  </si>
  <si>
    <t>HDL BP 300g Poly N/C Soft Grip</t>
  </si>
  <si>
    <t>HDL BP 500g Poly N/C Soft Grip</t>
  </si>
  <si>
    <t>HDL BP  700/1100g Poly  N/C  Soft Grip</t>
  </si>
  <si>
    <t xml:space="preserve">HDL  Club 1.1kg Poly S/C Soft Grip  </t>
  </si>
  <si>
    <t xml:space="preserve">HDL  Club 1.8kg Poly S/C Soft Grip  </t>
  </si>
  <si>
    <t>HDL Sledge 1.8kg 400 Poly Soft Grip Falcon</t>
  </si>
  <si>
    <t>Hdl Sledge 6.3kg 800 Poly Soft Grip</t>
  </si>
  <si>
    <t>Hdl Sledge 3.6kg 600 Poly Soft Grip</t>
  </si>
  <si>
    <t>Hdl Claw Wood 345mm</t>
  </si>
  <si>
    <t>Hdl BP Wood 280mm</t>
  </si>
  <si>
    <t>Hdl BP Wood 300mm</t>
  </si>
  <si>
    <t>Hdl BP Wood 330mm</t>
  </si>
  <si>
    <t>Hdl BP Wood 350mm</t>
  </si>
  <si>
    <t>Hdl BP Wood 380mm</t>
  </si>
  <si>
    <t>Hdl BP Wood 400mm</t>
  </si>
  <si>
    <t>Hdl BP Wood 425mm</t>
  </si>
  <si>
    <t>Hdl Sledge Wood 600mm</t>
  </si>
  <si>
    <t>Hdl Sledge Wood 750mm</t>
  </si>
  <si>
    <t>Hdl Sledge Wood 900mm</t>
  </si>
  <si>
    <t>Hdl Joiner Wood 280mm</t>
  </si>
  <si>
    <t>Hdl Fitter Wood 320mm</t>
  </si>
  <si>
    <t>Hdl Boiler Scaling Wood 300mm</t>
  </si>
  <si>
    <t>Hdl Broom Steel Plastic</t>
  </si>
  <si>
    <t>Hdl Rake Steel Plastic</t>
  </si>
  <si>
    <t>Hd Broom 300mm Brite / Fitting</t>
  </si>
  <si>
    <t xml:space="preserve">Hd Slasher </t>
  </si>
  <si>
    <t>Ham Spalling 6.3kg P/Handle Black CCL</t>
  </si>
  <si>
    <t>Hdl Brick/Scutch 800g Wood</t>
  </si>
  <si>
    <t xml:space="preserve">Ham Sledge 3.2kg </t>
  </si>
  <si>
    <t>Hdl 1.1 Club Wood 250mm</t>
  </si>
  <si>
    <t>Hdl 1.8 Club Wood 280mm</t>
  </si>
  <si>
    <t>Year</t>
  </si>
  <si>
    <t>Chisel Flat Cold 12x200</t>
  </si>
  <si>
    <t>Chisel Cross Cut 6x12x150</t>
  </si>
  <si>
    <t>Bar Wrecking 20x300mm</t>
  </si>
  <si>
    <t>2022 - 2023</t>
  </si>
  <si>
    <t>U/FILL</t>
  </si>
  <si>
    <t>Bolster 100mm</t>
  </si>
  <si>
    <t>Bolster 100mm PVC Grip</t>
  </si>
  <si>
    <t xml:space="preserve">Bolst  Electrician 55mm </t>
  </si>
  <si>
    <t>Chisel Cross Cut 10x20x200</t>
  </si>
  <si>
    <t>Chisel Diamond Point 6x12x150</t>
  </si>
  <si>
    <t>Chisel Diamond Point 10x20x200</t>
  </si>
  <si>
    <t>Chisel Round Nose 6x12x150</t>
  </si>
  <si>
    <t>Chisel Round Nose 10x20x200</t>
  </si>
  <si>
    <t>Chisel Flat Cold 12x150</t>
  </si>
  <si>
    <t>Chisel Flat Cold 16x175</t>
  </si>
  <si>
    <t>Chisel Flat Cold 16x300</t>
  </si>
  <si>
    <t>Chisel Flat Cold 20x200</t>
  </si>
  <si>
    <t>Chisel Flat Cold 22x225</t>
  </si>
  <si>
    <t>Chisel Flat Cold 20x250</t>
  </si>
  <si>
    <t>Chisel Flat Cold 25x250</t>
  </si>
  <si>
    <t>Chisel Flat Cold 25x300</t>
  </si>
  <si>
    <t>Chisel Concrete 25x300</t>
  </si>
  <si>
    <t>Bar Crow 25x1200</t>
  </si>
  <si>
    <t>Bar Crow 25x1500</t>
  </si>
  <si>
    <t>Bar Crow 25x1800</t>
  </si>
  <si>
    <t>Bar Crow 32x1800</t>
  </si>
  <si>
    <t>Knife Hacking PVC Grip</t>
  </si>
  <si>
    <t>Stamper Round 160mm Dia</t>
  </si>
  <si>
    <t>Stamper Sq. 150mm</t>
  </si>
  <si>
    <t>Bar Tommy 20x450mm</t>
  </si>
  <si>
    <t>Ham Sledge 6.3kg RW Heads</t>
  </si>
  <si>
    <t>Ham Sledge 1.8kg HD</t>
  </si>
  <si>
    <t>Combo Scutch + Brick Combs</t>
  </si>
  <si>
    <t>July 023 to June 2024</t>
  </si>
  <si>
    <t>July 022 to June 2023</t>
  </si>
  <si>
    <t>2023 - 2024</t>
  </si>
  <si>
    <t>Finger</t>
  </si>
  <si>
    <t xml:space="preserve">Digging Bars </t>
  </si>
  <si>
    <t>Head</t>
  </si>
  <si>
    <r>
      <rPr>
        <sz val="9"/>
        <rFont val="Arial Nova"/>
        <family val="2"/>
      </rPr>
      <t>Axe 0.9kg</t>
    </r>
    <r>
      <rPr>
        <b/>
        <sz val="9"/>
        <rFont val="Arial Nova"/>
        <family val="2"/>
      </rPr>
      <t xml:space="preserve"> Composite</t>
    </r>
  </si>
  <si>
    <t>Hand</t>
  </si>
  <si>
    <t>A.Lamprecht recover with hand injury.</t>
  </si>
  <si>
    <t>Eyes/leg</t>
  </si>
  <si>
    <t>3. Monthly Risk inspection was done.</t>
  </si>
  <si>
    <t>1. One IOD's   reported during  May 2024.</t>
  </si>
  <si>
    <t>T.Khanyile injured foot, busy with physio</t>
  </si>
  <si>
    <t>Foot/hand</t>
  </si>
  <si>
    <t>2. Fumigation was done by Eco hygiene.</t>
  </si>
  <si>
    <t>Incident Catergory</t>
  </si>
  <si>
    <t>Near Miss</t>
  </si>
  <si>
    <t>Environmental</t>
  </si>
  <si>
    <t>Property/Product</t>
  </si>
  <si>
    <t>Fire</t>
  </si>
  <si>
    <t>Permanent disability</t>
  </si>
  <si>
    <t>Faitality</t>
  </si>
  <si>
    <t>Miscaleanous</t>
  </si>
  <si>
    <t>Theft</t>
  </si>
  <si>
    <t>Body Part Injured</t>
  </si>
  <si>
    <t>Face</t>
  </si>
  <si>
    <t xml:space="preserve">Eyes </t>
  </si>
  <si>
    <t>Ears</t>
  </si>
  <si>
    <t>Mouth</t>
  </si>
  <si>
    <t>Chin</t>
  </si>
  <si>
    <t>Shoulders</t>
  </si>
  <si>
    <t>Stomach</t>
  </si>
  <si>
    <t>Chest/Ribs</t>
  </si>
  <si>
    <t>Arm</t>
  </si>
  <si>
    <t>Elbow</t>
  </si>
  <si>
    <t>Hip</t>
  </si>
  <si>
    <t>Private part</t>
  </si>
  <si>
    <t>Pelvis</t>
  </si>
  <si>
    <t>foot</t>
  </si>
  <si>
    <t>knee</t>
  </si>
  <si>
    <t>leg</t>
  </si>
  <si>
    <t>ankle</t>
  </si>
  <si>
    <t>Inhalation</t>
  </si>
  <si>
    <t>fatal</t>
  </si>
  <si>
    <t>Department</t>
  </si>
  <si>
    <t>Warehouse</t>
  </si>
  <si>
    <t>Production</t>
  </si>
  <si>
    <t>Stores</t>
  </si>
  <si>
    <t>Office</t>
  </si>
  <si>
    <t>Month</t>
  </si>
  <si>
    <t>Total</t>
  </si>
  <si>
    <t>Age</t>
  </si>
  <si>
    <t>19-25</t>
  </si>
  <si>
    <t>26-30</t>
  </si>
  <si>
    <t>31-35</t>
  </si>
  <si>
    <t>Eyes</t>
  </si>
  <si>
    <t>Row Labels</t>
  </si>
  <si>
    <t>Grand Total</t>
  </si>
  <si>
    <t>Sum of Total</t>
  </si>
  <si>
    <t>Apr</t>
  </si>
  <si>
    <t>Foot</t>
  </si>
  <si>
    <t>Type of injury</t>
  </si>
  <si>
    <t>Type of Injury</t>
  </si>
  <si>
    <t>STOCK CODE</t>
  </si>
  <si>
    <t>SCRAP TYPE</t>
  </si>
  <si>
    <t>SCRAP QUANTITY</t>
  </si>
  <si>
    <t>QTY PRODUCED</t>
  </si>
  <si>
    <t>PRODUCT TYPE</t>
  </si>
  <si>
    <t>BROKEN</t>
  </si>
  <si>
    <t>Value</t>
  </si>
  <si>
    <t>Part Description</t>
  </si>
  <si>
    <t>CLAWEND SHORT</t>
  </si>
  <si>
    <t>CRACKSF/fault</t>
  </si>
  <si>
    <t>BENT/ OFFSET</t>
  </si>
  <si>
    <t>DAM.EYE</t>
  </si>
  <si>
    <t>W/BDAM.</t>
  </si>
  <si>
    <t>BAD FORGING</t>
  </si>
  <si>
    <t>Daily Performance Tracking</t>
  </si>
  <si>
    <t>BADSCAL</t>
  </si>
  <si>
    <t>UNDRER FILL</t>
  </si>
  <si>
    <t>CRACKBOX</t>
  </si>
  <si>
    <t>WRONG STAMP</t>
  </si>
  <si>
    <t>BAD GRI/POL</t>
  </si>
  <si>
    <t>COIL DAMAGE</t>
  </si>
  <si>
    <t>TEST SAMPLES</t>
  </si>
  <si>
    <t>Scrap Type Legend</t>
  </si>
  <si>
    <t>MOULDING PROBLEM</t>
  </si>
  <si>
    <t>CARCKS HEAT TREATMENT</t>
  </si>
  <si>
    <t>FRGLAPS</t>
  </si>
  <si>
    <t>BENTSCLD</t>
  </si>
  <si>
    <t>BKNTIP</t>
  </si>
  <si>
    <t>MATCRKS</t>
  </si>
  <si>
    <t>SC1</t>
  </si>
  <si>
    <t>SC2</t>
  </si>
  <si>
    <t>SC3</t>
  </si>
  <si>
    <t>SC4</t>
  </si>
  <si>
    <t>SC5</t>
  </si>
  <si>
    <t>SC6</t>
  </si>
  <si>
    <t>SC7</t>
  </si>
  <si>
    <t>SC8</t>
  </si>
  <si>
    <t>SC9</t>
  </si>
  <si>
    <t>SC10</t>
  </si>
  <si>
    <t>SC11</t>
  </si>
  <si>
    <t>SC12</t>
  </si>
  <si>
    <t>SC13</t>
  </si>
  <si>
    <t>SC14</t>
  </si>
  <si>
    <t>SC15</t>
  </si>
  <si>
    <t>SC16</t>
  </si>
  <si>
    <t>SC17</t>
  </si>
  <si>
    <t>SC18</t>
  </si>
  <si>
    <t>SC19</t>
  </si>
  <si>
    <t>SC20</t>
  </si>
  <si>
    <t>SC21</t>
  </si>
  <si>
    <t>SC22</t>
  </si>
  <si>
    <t>SC23</t>
  </si>
  <si>
    <t>SC24</t>
  </si>
  <si>
    <t>SC25</t>
  </si>
  <si>
    <t>Date</t>
  </si>
  <si>
    <t>SCRAP CODE</t>
  </si>
  <si>
    <t>Doc:</t>
  </si>
  <si>
    <t>Rev:</t>
  </si>
  <si>
    <t>Only for Tracking purpose</t>
  </si>
  <si>
    <t>Inspector Name:</t>
  </si>
  <si>
    <t>Month:</t>
  </si>
  <si>
    <t>Jun</t>
  </si>
  <si>
    <t>Jul</t>
  </si>
  <si>
    <t>First Aid</t>
  </si>
  <si>
    <t>Day</t>
  </si>
  <si>
    <t>Name</t>
  </si>
  <si>
    <t>N Majola</t>
  </si>
  <si>
    <t>LTI</t>
  </si>
  <si>
    <t>(Multiple Items)</t>
  </si>
  <si>
    <t>Iron Tools</t>
  </si>
  <si>
    <t>M Khanyile</t>
  </si>
  <si>
    <t>A Lamprecht</t>
  </si>
  <si>
    <t>S Baloyi</t>
  </si>
  <si>
    <t>T Khanyile</t>
  </si>
  <si>
    <t>19/01/2024.</t>
  </si>
  <si>
    <t>K Khoza</t>
  </si>
  <si>
    <t>Description of Injury</t>
  </si>
  <si>
    <t>While polishing hammers, the head slipped and he injured his left thum nail</t>
  </si>
  <si>
    <t>Crowbar fell onto head.</t>
  </si>
  <si>
    <t>Foreign object went into eye while grinding</t>
  </si>
  <si>
    <t>Twisted ankle while getting off forklift</t>
  </si>
  <si>
    <t>S Ndlovu</t>
  </si>
  <si>
    <t>Cut finger while trying to cut string</t>
  </si>
  <si>
    <t>Bumped hand against bin injuring finger.</t>
  </si>
  <si>
    <t>Column Labels</t>
  </si>
  <si>
    <t>Machine Part fell onto finger making a cut.</t>
  </si>
  <si>
    <t>Day of Week</t>
  </si>
  <si>
    <t>THURSDAY</t>
  </si>
  <si>
    <t>FRIDAY</t>
  </si>
  <si>
    <t>WEDNESDAY</t>
  </si>
  <si>
    <t>TUESDAY</t>
  </si>
  <si>
    <t>MONDAY</t>
  </si>
  <si>
    <t>Total no Of employees</t>
  </si>
  <si>
    <t>hrs per week</t>
  </si>
  <si>
    <t>no of weeks</t>
  </si>
  <si>
    <t>no of LTI</t>
  </si>
  <si>
    <t>total hours worked TD</t>
  </si>
  <si>
    <t>LTIF</t>
  </si>
  <si>
    <t>August</t>
  </si>
  <si>
    <t>September</t>
  </si>
  <si>
    <t>October</t>
  </si>
  <si>
    <t>November</t>
  </si>
  <si>
    <t>December</t>
  </si>
  <si>
    <t>T Mpongose</t>
  </si>
  <si>
    <t>Cut middle finger while drilling double head slashers</t>
  </si>
  <si>
    <t>Time lost(hours)</t>
  </si>
  <si>
    <t>T Motaung</t>
  </si>
  <si>
    <t>Cut finger while putting on rubber protection on the 1.8kg axe.</t>
  </si>
  <si>
    <t>Sum of Time lost(hours)</t>
  </si>
  <si>
    <t>RAKES</t>
  </si>
  <si>
    <t>T Masilo</t>
  </si>
  <si>
    <t>Club hammer fell on left pinky finger. Swelling of finger.</t>
  </si>
  <si>
    <t>Pallet fell on right leg above ankle</t>
  </si>
  <si>
    <t>A Mthembu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</si>
</sst>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&quot;#,##0.00_);[Red]\(&quot;R&quot;#,##0.00\)"/>
    <numFmt numFmtId="43" formatCode="_(* #,##0.00_);_(* \(#,##0.00\);_(* &quot;-&quot;??_);_(@_)"/>
    <numFmt numFmtId="164" formatCode="0.0"/>
    <numFmt numFmtId="165" formatCode="General;[Red]\-General"/>
    <numFmt numFmtId="166" formatCode="[$R-1C09]\ #,##0.00"/>
    <numFmt numFmtId="167" formatCode="&quot;R&quot;\ #,##0.00"/>
  </numFmts>
  <fonts count="21">
    <font>
      <sz val="10"/>
      <name val="Arial MT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 MT"/>
    </font>
    <font>
      <b/>
      <sz val="8"/>
      <name val="Arial"/>
      <family val="2"/>
    </font>
    <font>
      <b/>
      <u/>
      <sz val="8"/>
      <name val="Arial"/>
      <family val="2"/>
    </font>
    <font>
      <sz val="8"/>
      <color rgb="FF000000"/>
      <name val="Arial"/>
      <family val="2"/>
    </font>
    <font>
      <b/>
      <sz val="9"/>
      <name val="Arial Nova"/>
      <family val="2"/>
    </font>
    <font>
      <sz val="9"/>
      <name val="Arial Nova"/>
      <family val="2"/>
    </font>
    <font>
      <sz val="11"/>
      <name val="Arial"/>
      <family val="2"/>
    </font>
    <font>
      <b/>
      <sz val="10"/>
      <name val="Arial MT"/>
    </font>
    <font>
      <b/>
      <sz val="12"/>
      <name val="Arial MT"/>
    </font>
    <font>
      <b/>
      <sz val="8"/>
      <name val="Arial MT"/>
    </font>
    <font>
      <b/>
      <sz val="11"/>
      <name val="Arial MT"/>
    </font>
    <font>
      <sz val="11"/>
      <name val="Arial MT"/>
    </font>
    <font>
      <b/>
      <sz val="12"/>
      <color theme="1"/>
      <name val="Arial MT"/>
    </font>
    <font>
      <b/>
      <sz val="12"/>
      <color theme="1"/>
      <name val="Arial Nova"/>
      <family val="2"/>
    </font>
    <font>
      <sz val="12"/>
      <name val="Arial MT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 applyFont="0"/>
    <xf numFmtId="43" fontId="3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</cellStyleXfs>
  <cellXfs count="19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17" fontId="7" fillId="0" borderId="0" xfId="0" applyNumberFormat="1" applyFont="1" applyAlignment="1">
      <alignment horizontal="center"/>
    </xf>
    <xf numFmtId="0" fontId="7" fillId="0" borderId="15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17" fontId="7" fillId="0" borderId="6" xfId="0" applyNumberFormat="1" applyFont="1" applyBorder="1" applyAlignment="1">
      <alignment horizontal="left"/>
    </xf>
    <xf numFmtId="0" fontId="4" fillId="0" borderId="20" xfId="0" applyFont="1" applyBorder="1"/>
    <xf numFmtId="0" fontId="7" fillId="0" borderId="1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1" fontId="7" fillId="0" borderId="13" xfId="0" applyNumberFormat="1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1" fontId="4" fillId="0" borderId="22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center"/>
    </xf>
    <xf numFmtId="2" fontId="4" fillId="0" borderId="9" xfId="2" applyNumberFormat="1" applyFont="1" applyBorder="1" applyAlignment="1">
      <alignment horizontal="center"/>
    </xf>
    <xf numFmtId="2" fontId="7" fillId="0" borderId="13" xfId="0" applyNumberFormat="1" applyFont="1" applyBorder="1" applyAlignment="1">
      <alignment horizontal="center"/>
    </xf>
    <xf numFmtId="2" fontId="7" fillId="2" borderId="26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5" fillId="0" borderId="4" xfId="0" applyFont="1" applyBorder="1"/>
    <xf numFmtId="0" fontId="4" fillId="0" borderId="4" xfId="0" applyFont="1" applyBorder="1" applyAlignment="1">
      <alignment horizontal="center"/>
    </xf>
    <xf numFmtId="17" fontId="7" fillId="0" borderId="14" xfId="0" applyNumberFormat="1" applyFont="1" applyBorder="1" applyAlignment="1">
      <alignment horizontal="left"/>
    </xf>
    <xf numFmtId="17" fontId="7" fillId="0" borderId="5" xfId="0" applyNumberFormat="1" applyFont="1" applyBorder="1" applyAlignment="1">
      <alignment horizontal="left"/>
    </xf>
    <xf numFmtId="17" fontId="7" fillId="0" borderId="24" xfId="0" applyNumberFormat="1" applyFont="1" applyBorder="1" applyAlignment="1">
      <alignment horizontal="left"/>
    </xf>
    <xf numFmtId="17" fontId="7" fillId="0" borderId="3" xfId="0" applyNumberFormat="1" applyFont="1" applyBorder="1" applyAlignment="1">
      <alignment horizontal="left"/>
    </xf>
    <xf numFmtId="0" fontId="7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4" fillId="0" borderId="17" xfId="0" applyFont="1" applyBorder="1"/>
    <xf numFmtId="0" fontId="4" fillId="0" borderId="16" xfId="0" applyFont="1" applyBorder="1"/>
    <xf numFmtId="0" fontId="4" fillId="0" borderId="7" xfId="0" applyFont="1" applyBorder="1"/>
    <xf numFmtId="0" fontId="4" fillId="0" borderId="18" xfId="0" applyFont="1" applyBorder="1"/>
    <xf numFmtId="2" fontId="4" fillId="0" borderId="7" xfId="0" applyNumberFormat="1" applyFont="1" applyBorder="1"/>
    <xf numFmtId="0" fontId="3" fillId="0" borderId="0" xfId="0" applyFont="1" applyAlignment="1">
      <alignment horizontal="right" vertical="center" wrapText="1"/>
    </xf>
    <xf numFmtId="0" fontId="4" fillId="0" borderId="9" xfId="0" applyFont="1" applyBorder="1"/>
    <xf numFmtId="2" fontId="4" fillId="0" borderId="6" xfId="0" applyNumberFormat="1" applyFont="1" applyBorder="1"/>
    <xf numFmtId="2" fontId="4" fillId="0" borderId="9" xfId="0" applyNumberFormat="1" applyFont="1" applyBorder="1"/>
    <xf numFmtId="0" fontId="4" fillId="0" borderId="21" xfId="0" applyFont="1" applyBorder="1"/>
    <xf numFmtId="0" fontId="4" fillId="0" borderId="6" xfId="0" applyFont="1" applyBorder="1"/>
    <xf numFmtId="1" fontId="4" fillId="0" borderId="9" xfId="0" applyNumberFormat="1" applyFont="1" applyBorder="1"/>
    <xf numFmtId="17" fontId="7" fillId="0" borderId="0" xfId="0" applyNumberFormat="1" applyFont="1" applyAlignment="1">
      <alignment horizontal="left"/>
    </xf>
    <xf numFmtId="1" fontId="7" fillId="0" borderId="0" xfId="0" applyNumberFormat="1" applyFont="1"/>
    <xf numFmtId="2" fontId="7" fillId="0" borderId="0" xfId="0" applyNumberFormat="1" applyFont="1"/>
    <xf numFmtId="0" fontId="8" fillId="0" borderId="0" xfId="0" applyFont="1"/>
    <xf numFmtId="2" fontId="4" fillId="0" borderId="0" xfId="0" applyNumberFormat="1" applyFont="1" applyAlignment="1">
      <alignment horizontal="center"/>
    </xf>
    <xf numFmtId="2" fontId="4" fillId="0" borderId="0" xfId="2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8" fontId="6" fillId="0" borderId="0" xfId="0" applyNumberFormat="1" applyFont="1"/>
    <xf numFmtId="165" fontId="5" fillId="0" borderId="4" xfId="0" applyNumberFormat="1" applyFont="1" applyBorder="1" applyAlignment="1">
      <alignment horizontal="left"/>
    </xf>
    <xf numFmtId="0" fontId="7" fillId="0" borderId="22" xfId="0" applyFont="1" applyBorder="1" applyAlignment="1">
      <alignment horizontal="center" wrapText="1"/>
    </xf>
    <xf numFmtId="0" fontId="7" fillId="0" borderId="12" xfId="0" applyFont="1" applyBorder="1" applyAlignment="1">
      <alignment horizontal="center"/>
    </xf>
    <xf numFmtId="0" fontId="3" fillId="0" borderId="19" xfId="0" applyFont="1" applyBorder="1"/>
    <xf numFmtId="0" fontId="4" fillId="0" borderId="19" xfId="0" applyFont="1" applyBorder="1" applyAlignment="1">
      <alignment vertical="center"/>
    </xf>
    <xf numFmtId="0" fontId="4" fillId="0" borderId="19" xfId="0" applyFont="1" applyBorder="1"/>
    <xf numFmtId="0" fontId="4" fillId="0" borderId="8" xfId="0" applyFont="1" applyBorder="1"/>
    <xf numFmtId="167" fontId="5" fillId="0" borderId="4" xfId="0" applyNumberFormat="1" applyFont="1" applyBorder="1" applyAlignment="1">
      <alignment horizontal="center"/>
    </xf>
    <xf numFmtId="0" fontId="4" fillId="0" borderId="28" xfId="0" applyFont="1" applyBorder="1" applyAlignment="1">
      <alignment horizontal="left"/>
    </xf>
    <xf numFmtId="0" fontId="4" fillId="0" borderId="28" xfId="0" applyFont="1" applyBorder="1"/>
    <xf numFmtId="0" fontId="4" fillId="0" borderId="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left"/>
    </xf>
    <xf numFmtId="0" fontId="9" fillId="0" borderId="31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4" fillId="0" borderId="28" xfId="0" applyFont="1" applyBorder="1" applyAlignment="1">
      <alignment horizontal="right"/>
    </xf>
    <xf numFmtId="0" fontId="4" fillId="0" borderId="29" xfId="0" applyFont="1" applyBorder="1"/>
    <xf numFmtId="2" fontId="4" fillId="0" borderId="29" xfId="0" applyNumberFormat="1" applyFont="1" applyBorder="1"/>
    <xf numFmtId="2" fontId="4" fillId="0" borderId="0" xfId="0" applyNumberFormat="1" applyFont="1"/>
    <xf numFmtId="2" fontId="9" fillId="0" borderId="28" xfId="0" applyNumberFormat="1" applyFont="1" applyBorder="1" applyAlignment="1">
      <alignment horizontal="right" vertical="center"/>
    </xf>
    <xf numFmtId="2" fontId="4" fillId="0" borderId="28" xfId="0" applyNumberFormat="1" applyFont="1" applyBorder="1"/>
    <xf numFmtId="0" fontId="4" fillId="0" borderId="29" xfId="0" applyFont="1" applyBorder="1" applyAlignment="1">
      <alignment horizontal="left"/>
    </xf>
    <xf numFmtId="43" fontId="4" fillId="0" borderId="28" xfId="1" applyFont="1" applyBorder="1" applyAlignment="1">
      <alignment horizontal="right"/>
    </xf>
    <xf numFmtId="43" fontId="4" fillId="0" borderId="28" xfId="1" applyFont="1" applyBorder="1" applyAlignment="1"/>
    <xf numFmtId="43" fontId="4" fillId="0" borderId="0" xfId="1" applyFont="1" applyBorder="1" applyAlignment="1"/>
    <xf numFmtId="0" fontId="4" fillId="0" borderId="32" xfId="0" applyFont="1" applyBorder="1" applyAlignment="1">
      <alignment horizontal="left"/>
    </xf>
    <xf numFmtId="0" fontId="7" fillId="0" borderId="32" xfId="0" applyFont="1" applyBorder="1"/>
    <xf numFmtId="2" fontId="7" fillId="0" borderId="32" xfId="0" applyNumberFormat="1" applyFont="1" applyBorder="1"/>
    <xf numFmtId="0" fontId="4" fillId="0" borderId="32" xfId="0" applyFont="1" applyBorder="1"/>
    <xf numFmtId="2" fontId="4" fillId="0" borderId="32" xfId="0" applyNumberFormat="1" applyFont="1" applyBorder="1"/>
    <xf numFmtId="2" fontId="4" fillId="0" borderId="33" xfId="0" applyNumberFormat="1" applyFont="1" applyBorder="1"/>
    <xf numFmtId="0" fontId="4" fillId="0" borderId="33" xfId="0" applyFont="1" applyBorder="1"/>
    <xf numFmtId="0" fontId="4" fillId="0" borderId="1" xfId="0" applyFont="1" applyBorder="1"/>
    <xf numFmtId="2" fontId="4" fillId="0" borderId="1" xfId="0" applyNumberFormat="1" applyFont="1" applyBorder="1"/>
    <xf numFmtId="17" fontId="7" fillId="0" borderId="1" xfId="0" applyNumberFormat="1" applyFont="1" applyBorder="1" applyAlignment="1">
      <alignment horizontal="left"/>
    </xf>
    <xf numFmtId="1" fontId="4" fillId="0" borderId="32" xfId="0" applyNumberFormat="1" applyFont="1" applyBorder="1" applyAlignment="1">
      <alignment horizontal="center"/>
    </xf>
    <xf numFmtId="1" fontId="4" fillId="0" borderId="33" xfId="0" applyNumberFormat="1" applyFont="1" applyBorder="1" applyAlignment="1">
      <alignment horizontal="center"/>
    </xf>
    <xf numFmtId="1" fontId="7" fillId="0" borderId="32" xfId="0" applyNumberFormat="1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164" fontId="4" fillId="0" borderId="32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1" fontId="4" fillId="2" borderId="28" xfId="0" applyNumberFormat="1" applyFont="1" applyFill="1" applyBorder="1" applyAlignment="1">
      <alignment horizontal="center"/>
    </xf>
    <xf numFmtId="2" fontId="4" fillId="2" borderId="28" xfId="0" applyNumberFormat="1" applyFont="1" applyFill="1" applyBorder="1" applyAlignment="1">
      <alignment horizontal="center"/>
    </xf>
    <xf numFmtId="2" fontId="4" fillId="2" borderId="28" xfId="2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165" fontId="11" fillId="0" borderId="4" xfId="0" applyNumberFormat="1" applyFont="1" applyBorder="1"/>
    <xf numFmtId="165" fontId="11" fillId="0" borderId="4" xfId="0" applyNumberFormat="1" applyFont="1" applyBorder="1" applyAlignment="1">
      <alignment horizontal="left"/>
    </xf>
    <xf numFmtId="166" fontId="11" fillId="0" borderId="4" xfId="0" applyNumberFormat="1" applyFont="1" applyBorder="1" applyAlignment="1">
      <alignment horizontal="left"/>
    </xf>
    <xf numFmtId="165" fontId="11" fillId="3" borderId="4" xfId="0" applyNumberFormat="1" applyFont="1" applyFill="1" applyBorder="1" applyAlignment="1">
      <alignment horizontal="left"/>
    </xf>
    <xf numFmtId="165" fontId="10" fillId="0" borderId="4" xfId="0" applyNumberFormat="1" applyFont="1" applyBorder="1" applyAlignment="1">
      <alignment horizontal="left"/>
    </xf>
    <xf numFmtId="0" fontId="7" fillId="0" borderId="34" xfId="0" applyFont="1" applyBorder="1" applyAlignment="1">
      <alignment horizontal="center"/>
    </xf>
    <xf numFmtId="2" fontId="4" fillId="0" borderId="34" xfId="0" applyNumberFormat="1" applyFont="1" applyBorder="1" applyAlignment="1">
      <alignment horizontal="center"/>
    </xf>
    <xf numFmtId="0" fontId="9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/>
    </xf>
    <xf numFmtId="164" fontId="4" fillId="0" borderId="34" xfId="0" applyNumberFormat="1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0" fillId="0" borderId="4" xfId="0" applyBorder="1"/>
    <xf numFmtId="0" fontId="13" fillId="0" borderId="4" xfId="0" applyFont="1" applyBorder="1"/>
    <xf numFmtId="1" fontId="4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center"/>
    </xf>
    <xf numFmtId="165" fontId="5" fillId="0" borderId="4" xfId="0" applyNumberFormat="1" applyFont="1" applyBorder="1"/>
    <xf numFmtId="167" fontId="12" fillId="0" borderId="4" xfId="0" applyNumberFormat="1" applyFont="1" applyBorder="1"/>
    <xf numFmtId="165" fontId="5" fillId="3" borderId="4" xfId="0" applyNumberFormat="1" applyFont="1" applyFill="1" applyBorder="1"/>
    <xf numFmtId="0" fontId="0" fillId="0" borderId="0" xfId="0" applyAlignment="1">
      <alignment horizontal="left" indent="1"/>
    </xf>
    <xf numFmtId="0" fontId="4" fillId="0" borderId="4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0" fontId="18" fillId="3" borderId="4" xfId="0" applyFont="1" applyFill="1" applyBorder="1" applyAlignment="1">
      <alignment horizontal="center" vertical="center"/>
    </xf>
    <xf numFmtId="165" fontId="19" fillId="3" borderId="4" xfId="0" applyNumberFormat="1" applyFont="1" applyFill="1" applyBorder="1" applyAlignment="1">
      <alignment horizontal="center" vertical="center" wrapText="1"/>
    </xf>
    <xf numFmtId="165" fontId="19" fillId="3" borderId="4" xfId="0" applyNumberFormat="1" applyFont="1" applyFill="1" applyBorder="1" applyAlignment="1">
      <alignment horizontal="center" vertical="center"/>
    </xf>
    <xf numFmtId="0" fontId="20" fillId="0" borderId="0" xfId="0" applyFont="1"/>
    <xf numFmtId="0" fontId="0" fillId="0" borderId="4" xfId="0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/>
    <xf numFmtId="0" fontId="0" fillId="0" borderId="0" xfId="0" applyBorder="1"/>
    <xf numFmtId="0" fontId="0" fillId="0" borderId="34" xfId="0" applyBorder="1"/>
    <xf numFmtId="0" fontId="0" fillId="0" borderId="34" xfId="0" applyFont="1" applyBorder="1" applyAlignment="1">
      <alignment horizontal="center"/>
    </xf>
    <xf numFmtId="14" fontId="0" fillId="0" borderId="4" xfId="0" applyNumberFormat="1" applyBorder="1" applyAlignment="1">
      <alignment vertical="center"/>
    </xf>
    <xf numFmtId="0" fontId="13" fillId="0" borderId="34" xfId="0" applyFont="1" applyBorder="1" applyAlignment="1">
      <alignment horizontal="center" vertical="center"/>
    </xf>
    <xf numFmtId="1" fontId="4" fillId="0" borderId="34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0" fontId="0" fillId="0" borderId="34" xfId="0" applyBorder="1" applyAlignment="1">
      <alignment vertical="center"/>
    </xf>
    <xf numFmtId="14" fontId="0" fillId="0" borderId="34" xfId="0" applyNumberFormat="1" applyBorder="1" applyAlignment="1">
      <alignment vertical="center"/>
    </xf>
    <xf numFmtId="14" fontId="0" fillId="0" borderId="34" xfId="0" applyNumberFormat="1" applyBorder="1"/>
    <xf numFmtId="0" fontId="13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3" fillId="0" borderId="34" xfId="0" applyFont="1" applyBorder="1" applyAlignment="1">
      <alignment vertical="center" wrapText="1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wrapText="1"/>
    </xf>
    <xf numFmtId="0" fontId="13" fillId="0" borderId="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4" xfId="0" applyBorder="1" applyAlignment="1">
      <alignment horizont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horizontal="center" vertical="center" textRotation="180"/>
    </xf>
    <xf numFmtId="0" fontId="20" fillId="0" borderId="36" xfId="0" applyFont="1" applyBorder="1" applyAlignment="1">
      <alignment horizontal="center"/>
    </xf>
    <xf numFmtId="0" fontId="20" fillId="0" borderId="37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19 2" xfId="3" xr:uid="{00000000-0005-0000-0000-000003000000}"/>
    <cellStyle name="Normal 57" xfId="4" xr:uid="{C57A184B-ABF4-4345-A9B1-BB72CC988D84}"/>
    <cellStyle name="Normal_Sheet1" xfId="2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onnections" Target="connections.xml"/><Relationship Id="rId29" Type="http://schemas.openxmlformats.org/officeDocument/2006/relationships/customXml" Target="../customXml/item5.xml"/><Relationship Id="rId41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[Incident_data.xlsx]Injury.Dept!PivotTable1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</a:t>
            </a:r>
            <a:r>
              <a:rPr lang="en-US" baseline="0"/>
              <a:t> Category</a:t>
            </a:r>
            <a:endParaRPr lang="en-US"/>
          </a:p>
        </c:rich>
      </c:tx>
      <c:layout>
        <c:manualLayout>
          <c:xMode val="edge"/>
          <c:yMode val="edge"/>
          <c:x val="0.41628621304412416"/>
          <c:y val="5.1248831526641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Injury.Dept!$B$3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Injury.Dept!$A$4:$A$6</c:f>
              <c:strCache>
                <c:ptCount val="2"/>
                <c:pt idx="0">
                  <c:v>HAMMERS</c:v>
                </c:pt>
                <c:pt idx="1">
                  <c:v>Warehouse</c:v>
                </c:pt>
              </c:strCache>
            </c:strRef>
          </c:cat>
          <c:val>
            <c:numRef>
              <c:f>Injury.Dept!$B$4:$B$6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A4-4802-974E-00E8841258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111777583"/>
        <c:axId val="2111781743"/>
      </c:barChart>
      <c:catAx>
        <c:axId val="21117775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[Incident_data.xlsx]Injury type!PivotTable1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</a:t>
            </a:r>
            <a:r>
              <a:rPr lang="en-US" baseline="0"/>
              <a:t> Part Injured</a:t>
            </a:r>
            <a:endParaRPr lang="en-US"/>
          </a:p>
        </c:rich>
      </c:tx>
      <c:layout>
        <c:manualLayout>
          <c:xMode val="edge"/>
          <c:yMode val="edge"/>
          <c:x val="0.40293977836103823"/>
          <c:y val="4.281248763502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'Injury type'!$B$3:$B$4</c:f>
              <c:strCache>
                <c:ptCount val="1"/>
                <c:pt idx="0">
                  <c:v>LTI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'Injury type'!$A$5:$A$7</c:f>
              <c:strCache>
                <c:ptCount val="2"/>
                <c:pt idx="0">
                  <c:v>Foot</c:v>
                </c:pt>
                <c:pt idx="1">
                  <c:v>Hand</c:v>
                </c:pt>
              </c:strCache>
            </c:strRef>
          </c:cat>
          <c:val>
            <c:numRef>
              <c:f>'Injury type'!$B$5:$B$7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1-4834-895C-0CA4B462A89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10208219869354"/>
          <c:y val="6.4500607957567152E-2"/>
          <c:w val="0.15"/>
          <c:h val="0.331340429180020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[Incident_data.xlsx]LTI!PivotTable1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Time Lost (Hrs)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10208219869354"/>
          <c:y val="6.4500607957567152E-2"/>
          <c:w val="0.13001436954026699"/>
          <c:h val="0.179562141697455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[Incident_data.xlsx]IOD TIMELOST!PivotTable2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TIME LOST(Hrs)/Month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1969696253621371"/>
          <c:y val="3.36971036515172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'IOD TIMELOST'!$B$4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'IOD TIMELOST'!$A$5:$A$16</c:f>
              <c:multiLvlStrCache>
                <c:ptCount val="10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'IOD TIMELOST'!$B$5:$B$16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1.92</c:v>
                </c:pt>
                <c:pt idx="4">
                  <c:v>0</c:v>
                </c:pt>
                <c:pt idx="5">
                  <c:v>12.76</c:v>
                </c:pt>
                <c:pt idx="6">
                  <c:v>24.76</c:v>
                </c:pt>
                <c:pt idx="7">
                  <c:v>23</c:v>
                </c:pt>
                <c:pt idx="8">
                  <c:v>5.44</c:v>
                </c:pt>
                <c:pt idx="9">
                  <c:v>14.08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78-49EC-A85E-8320564FE8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7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[Incident_data.xlsx]Day of incident!PivotTable2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Day of Incident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2455260682907966"/>
          <c:y val="6.0154565512321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incident'!$B$3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of incident'!$A$4:$A$9</c:f>
              <c:strCache>
                <c:ptCount val="5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</c:strCache>
            </c:strRef>
          </c:cat>
          <c:val>
            <c:numRef>
              <c:f>'Day of incident'!$B$4:$B$9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C-4912-A798-8AA895C6D8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[Incident_data.xlsx]NO OF IOD!PivotTable2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No. of IODs/Month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8310220151052549"/>
          <c:y val="5.241068395862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IOD'!$B$3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multiLvlStrRef>
              <c:f>'NO OF IOD'!$A$4:$A$24</c:f>
              <c:multiLvlStrCache>
                <c:ptCount val="18"/>
                <c:lvl>
                  <c:pt idx="0">
                    <c:v>Jul</c:v>
                  </c:pt>
                  <c:pt idx="1">
                    <c:v>Aug</c:v>
                  </c:pt>
                  <c:pt idx="2">
                    <c:v>Sep</c:v>
                  </c:pt>
                  <c:pt idx="3">
                    <c:v>Oct</c:v>
                  </c:pt>
                  <c:pt idx="4">
                    <c:v>Nov</c:v>
                  </c:pt>
                  <c:pt idx="5">
                    <c:v>Dec</c:v>
                  </c:pt>
                  <c:pt idx="6">
                    <c:v>Jan</c:v>
                  </c:pt>
                  <c:pt idx="7">
                    <c:v>Feb</c:v>
                  </c:pt>
                  <c:pt idx="8">
                    <c:v>Mar</c:v>
                  </c:pt>
                  <c:pt idx="9">
                    <c:v>Apr</c:v>
                  </c:pt>
                  <c:pt idx="10">
                    <c:v>May</c:v>
                  </c:pt>
                  <c:pt idx="11">
                    <c:v>Jun</c:v>
                  </c:pt>
                  <c:pt idx="12">
                    <c:v>Jul</c:v>
                  </c:pt>
                  <c:pt idx="13">
                    <c:v>Aug</c:v>
                  </c:pt>
                  <c:pt idx="14">
                    <c:v>Sep</c:v>
                  </c:pt>
                  <c:pt idx="15">
                    <c:v>Oct</c:v>
                  </c:pt>
                  <c:pt idx="16">
                    <c:v>Nov</c:v>
                  </c:pt>
                  <c:pt idx="17">
                    <c:v>Dec</c:v>
                  </c:pt>
                </c:lvl>
                <c:lvl>
                  <c:pt idx="0">
                    <c:v>2023</c:v>
                  </c:pt>
                  <c:pt idx="6">
                    <c:v>2024</c:v>
                  </c:pt>
                </c:lvl>
              </c:multiLvlStrCache>
            </c:multiLvlStrRef>
          </c:cat>
          <c:val>
            <c:numRef>
              <c:f>'NO OF IOD'!$B$4:$B$24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C-4037-B02E-8B5CD546976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[Incident_data.xlsx]Day of incident (2)!PivotTable2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Day of Incident</a:t>
            </a:r>
            <a:endParaRPr lang="en-ZA">
              <a:effectLst/>
            </a:endParaRPr>
          </a:p>
        </c:rich>
      </c:tx>
      <c:layout>
        <c:manualLayout>
          <c:xMode val="edge"/>
          <c:yMode val="edge"/>
          <c:x val="0.32455260682907966"/>
          <c:y val="6.0154565512321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'Day of incident (2)'!$B$3:$B$4</c:f>
              <c:strCache>
                <c:ptCount val="1"/>
                <c:pt idx="0">
                  <c:v>LTI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'Day of incident (2)'!$A$5:$A$6</c:f>
              <c:strCache>
                <c:ptCount val="1"/>
                <c:pt idx="0">
                  <c:v>FRIDAY</c:v>
                </c:pt>
              </c:strCache>
            </c:strRef>
          </c:cat>
          <c:val>
            <c:numRef>
              <c:f>'Day of incident (2)'!$B$5:$B$6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0-43AF-B36E-9D7EEE71E8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02378592"/>
        <c:axId val="102369856"/>
      </c:barChart>
      <c:catAx>
        <c:axId val="10237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69856"/>
        <c:crosses val="autoZero"/>
        <c:auto val="1"/>
        <c:lblAlgn val="ctr"/>
        <c:lblOffset val="100"/>
        <c:noMultiLvlLbl val="0"/>
      </c:catAx>
      <c:valAx>
        <c:axId val="10236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78592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[Incident_data.xlsx]Incident 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Incident</a:t>
            </a:r>
            <a:r>
              <a:rPr lang="en-US" baseline="0"/>
              <a:t> Category</a:t>
            </a:r>
            <a:endParaRPr lang="en-US"/>
          </a:p>
        </c:rich>
      </c:tx>
      <c:layout>
        <c:manualLayout>
          <c:xMode val="edge"/>
          <c:yMode val="edge"/>
          <c:x val="0.41628621304412416"/>
          <c:y val="5.12488315266411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'Incident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'Incident Category'!$A$4:$A$6</c:f>
              <c:strCache>
                <c:ptCount val="2"/>
                <c:pt idx="0">
                  <c:v>LTI</c:v>
                </c:pt>
                <c:pt idx="1">
                  <c:v>First Aid</c:v>
                </c:pt>
              </c:strCache>
            </c:strRef>
          </c:cat>
          <c:val>
            <c:numRef>
              <c:f>'Incident Category'!$B$4:$B$6</c:f>
              <c:numCache>
                <c:formatCode>General</c:formatCode>
                <c:ptCount val="2"/>
                <c:pt idx="0">
                  <c:v>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D1-40FA-BC8A-E70603C210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1777583"/>
        <c:axId val="2111781743"/>
      </c:barChart>
      <c:catAx>
        <c:axId val="211177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81743"/>
        <c:crosses val="autoZero"/>
        <c:auto val="1"/>
        <c:lblAlgn val="ctr"/>
        <c:lblOffset val="100"/>
        <c:noMultiLvlLbl val="0"/>
      </c:catAx>
      <c:valAx>
        <c:axId val="21117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77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114300</xdr:rowOff>
    </xdr:from>
    <xdr:to>
      <xdr:col>14</xdr:col>
      <xdr:colOff>342900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98B86-59D3-4011-A827-E9593B3D0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590551</xdr:colOff>
      <xdr:row>6</xdr:row>
      <xdr:rowOff>9526</xdr:rowOff>
    </xdr:from>
    <xdr:to>
      <xdr:col>13</xdr:col>
      <xdr:colOff>104776</xdr:colOff>
      <xdr:row>29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EBA5D2-D523-45CD-B96C-F932F17B7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28575</xdr:rowOff>
    </xdr:from>
    <xdr:to>
      <xdr:col>17</xdr:col>
      <xdr:colOff>228600</xdr:colOff>
      <xdr:row>21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44B861-CD50-48BD-9A4A-4F5FD1306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428627</xdr:colOff>
      <xdr:row>0</xdr:row>
      <xdr:rowOff>9525</xdr:rowOff>
    </xdr:from>
    <xdr:to>
      <xdr:col>12</xdr:col>
      <xdr:colOff>257175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5DF2B-1537-4672-8A2D-DAD8AABB6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304802</xdr:colOff>
      <xdr:row>4</xdr:row>
      <xdr:rowOff>123826</xdr:rowOff>
    </xdr:from>
    <xdr:to>
      <xdr:col>14</xdr:col>
      <xdr:colOff>276226</xdr:colOff>
      <xdr:row>24</xdr:row>
      <xdr:rowOff>104776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158C4D-FA2F-4482-AEA3-C6C009111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209550</xdr:colOff>
      <xdr:row>15</xdr:row>
      <xdr:rowOff>85725</xdr:rowOff>
    </xdr:from>
    <xdr:to>
      <xdr:col>3</xdr:col>
      <xdr:colOff>485444</xdr:colOff>
      <xdr:row>24</xdr:row>
      <xdr:rowOff>66495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EB9DAE-7118-45B9-B524-633BC0644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2514600"/>
          <a:ext cx="2647619" cy="1438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</xdr:row>
      <xdr:rowOff>38100</xdr:rowOff>
    </xdr:from>
    <xdr:to>
      <xdr:col>10</xdr:col>
      <xdr:colOff>295275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9FA3A4-BA23-4625-B9D1-B82F5D59D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257177</xdr:colOff>
      <xdr:row>0</xdr:row>
      <xdr:rowOff>114301</xdr:rowOff>
    </xdr:from>
    <xdr:to>
      <xdr:col>11</xdr:col>
      <xdr:colOff>228601</xdr:colOff>
      <xdr:row>20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4C95F-6ABA-4B78-BA21-064488B19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104775</xdr:colOff>
      <xdr:row>0</xdr:row>
      <xdr:rowOff>114300</xdr:rowOff>
    </xdr:from>
    <xdr:to>
      <xdr:col>14</xdr:col>
      <xdr:colOff>342900</xdr:colOff>
      <xdr:row>21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56994F-BAE5-4999-AECC-9F23B007F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umim/SHEQ/SHE%20System/14.Management%20Walk%20About/Walkabout%20Audit%20Germiston%2009.07.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umim/SHEQ/Q%20System/7.Scrap%20Report/YTD%20Scrap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on List"/>
      <sheetName val="Sheet1"/>
      <sheetName val="Open Items Status (2)"/>
      <sheetName val="Open Items Status"/>
    </sheetNames>
    <sheetDataSet>
      <sheetData sheetId="0"/>
      <sheetData sheetId="1"/>
      <sheetData sheetId="2"/>
      <sheetData sheetId="3">
        <row r="7">
          <cell r="B7" t="str">
            <v>Percentage Closed</v>
          </cell>
          <cell r="C7">
            <v>0.75268817204301075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Hammers"/>
      <sheetName val="Iron Tools"/>
      <sheetName val="Handles"/>
    </sheetNames>
    <sheetDataSet>
      <sheetData sheetId="0">
        <row r="345">
          <cell r="C345" t="str">
            <v>PRODUCED</v>
          </cell>
          <cell r="D345" t="str">
            <v>SCRAP QTY</v>
          </cell>
          <cell r="E345" t="str">
            <v>SCRAP%</v>
          </cell>
          <cell r="F345" t="str">
            <v>SCRAP VALUE</v>
          </cell>
        </row>
        <row r="346">
          <cell r="B346" t="str">
            <v>HAMMERS</v>
          </cell>
          <cell r="C346">
            <v>299339</v>
          </cell>
          <cell r="D346">
            <v>1020</v>
          </cell>
          <cell r="E346">
            <v>3.407507875686095E-3</v>
          </cell>
          <cell r="F346">
            <v>100991.41</v>
          </cell>
        </row>
        <row r="347">
          <cell r="B347" t="str">
            <v>IRON TOOLS</v>
          </cell>
          <cell r="C347">
            <v>169814</v>
          </cell>
          <cell r="D347">
            <v>484</v>
          </cell>
          <cell r="E347">
            <v>2.8501772527589008E-3</v>
          </cell>
          <cell r="F347">
            <v>20273.460000000003</v>
          </cell>
        </row>
        <row r="348">
          <cell r="B348" t="str">
            <v>HANDLES</v>
          </cell>
          <cell r="C348">
            <v>288090</v>
          </cell>
          <cell r="D348">
            <v>944</v>
          </cell>
          <cell r="E348">
            <v>3.2767537922177097E-3</v>
          </cell>
          <cell r="F348">
            <v>19956.25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6065.335366087966" createdVersion="7" refreshedVersion="7" minRefreshableVersion="3" recordCount="58" xr:uid="{E19603A6-466F-42AC-91E8-62D9C9CE9200}">
  <cacheSource type="worksheet">
    <worksheetSource ref="C1:M1048576" sheet="SAFETY DATA"/>
  </cacheSource>
  <cacheFields count="11">
    <cacheField name="Month" numFmtId="0">
      <sharedItems containsBlank="1" count="15">
        <s v="Jul"/>
        <s v="Aug"/>
        <s v="Sep"/>
        <s v="Oct"/>
        <s v="Nov"/>
        <s v="Dec"/>
        <s v="Jan"/>
        <s v="Feb"/>
        <s v="Mar"/>
        <s v="Apr"/>
        <s v="May"/>
        <s v="Jun"/>
        <m/>
        <s v="June" u="1"/>
        <s v="July" u="1"/>
      </sharedItems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Name" numFmtId="0">
      <sharedItems containsBlank="1"/>
    </cacheField>
    <cacheField name="Department" numFmtId="0">
      <sharedItems containsBlank="1" containsMixedTypes="1" containsNumber="1" containsInteger="1" minValue="0" maxValue="0"/>
    </cacheField>
    <cacheField name="Time lost(hours)" numFmtId="0">
      <sharedItems containsString="0" containsBlank="1" containsNumber="1" minValue="0" maxValue="200"/>
    </cacheField>
    <cacheField name="Incident Catergory" numFmtId="0">
      <sharedItems containsBlank="1" containsMixedTypes="1" containsNumber="1" containsInteger="1" minValue="0" maxValue="0" count="4">
        <n v="0"/>
        <s v="LTI"/>
        <s v="First Aid"/>
        <m/>
      </sharedItems>
    </cacheField>
    <cacheField name="Body Part Injured" numFmtId="0">
      <sharedItems containsBlank="1" containsMixedTypes="1" containsNumber="1" containsInteger="1" minValue="0" maxValue="0"/>
    </cacheField>
    <cacheField name="Total" numFmtId="0">
      <sharedItems containsString="0" containsBlank="1" containsNumber="1" containsInteger="1" minValue="0" maxValue="1"/>
    </cacheField>
    <cacheField name="Description of Injury" numFmtId="0">
      <sharedItems containsBlank="1"/>
    </cacheField>
    <cacheField name="Age" numFmtId="0">
      <sharedItems containsNonDate="0" containsString="0" containsBlank="1"/>
    </cacheField>
    <cacheField name="Type of injur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6065.335366782405" createdVersion="7" refreshedVersion="7" minRefreshableVersion="3" recordCount="58" xr:uid="{B54A5C81-9548-448B-8A41-3D482F6912AE}">
  <cacheSource type="worksheet">
    <worksheetSource ref="A1:J1048576" sheet="SAFETY DATA"/>
  </cacheSource>
  <cacheFields count="10">
    <cacheField name="Day" numFmtId="0">
      <sharedItems containsDate="1" containsBlank="1" containsMixedTypes="1" minDate="2004-11-01T00:00:00" maxDate="2025-11-01T00:00:00"/>
    </cacheField>
    <cacheField name="Day of Week" numFmtId="0">
      <sharedItems containsBlank="1"/>
    </cacheField>
    <cacheField name="Month" numFmtId="0">
      <sharedItems containsBlank="1"/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Name" numFmtId="0">
      <sharedItems containsBlank="1"/>
    </cacheField>
    <cacheField name="Department" numFmtId="0">
      <sharedItems containsBlank="1" containsMixedTypes="1" containsNumber="1" containsInteger="1" minValue="0" maxValue="0" count="7">
        <n v="0"/>
        <s v="Iron Tools"/>
        <s v="HAMMERS"/>
        <s v="MAINTENANCE"/>
        <s v="RAKES"/>
        <s v="Warehouse"/>
        <m/>
      </sharedItems>
    </cacheField>
    <cacheField name="Time lost(hours)" numFmtId="0">
      <sharedItems containsString="0" containsBlank="1" containsNumber="1" minValue="0" maxValue="200"/>
    </cacheField>
    <cacheField name="Incident Catergory" numFmtId="0">
      <sharedItems containsBlank="1" containsMixedTypes="1" containsNumber="1" containsInteger="1" minValue="0" maxValue="0" count="4">
        <n v="0"/>
        <s v="LTI"/>
        <s v="First Aid"/>
        <m/>
      </sharedItems>
    </cacheField>
    <cacheField name="Body Part Injured" numFmtId="0">
      <sharedItems containsBlank="1" containsMixedTypes="1" containsNumber="1" containsInteger="1" minValue="0" maxValue="0"/>
    </cacheField>
    <cacheField name="Total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mi Masilela" refreshedDate="46065.335367939813" createdVersion="7" refreshedVersion="7" minRefreshableVersion="3" recordCount="58" xr:uid="{D5B86317-8EDF-448E-99F2-804FDBDE933A}">
  <cacheSource type="worksheet">
    <worksheetSource ref="A1:M1048576" sheet="SAFETY DATA"/>
  </cacheSource>
  <cacheFields count="13">
    <cacheField name="Day" numFmtId="0">
      <sharedItems containsDate="1" containsBlank="1" containsMixedTypes="1" minDate="2004-11-01T00:00:00" maxDate="2025-11-01T00:00:00"/>
    </cacheField>
    <cacheField name="Day of Week" numFmtId="0">
      <sharedItems containsBlank="1" count="10">
        <m/>
        <s v="THURSDAY"/>
        <s v="FRIDAY"/>
        <s v="WEDNESDAY"/>
        <s v="TUESDAY"/>
        <s v="MONDAY"/>
        <s v="WED" u="1"/>
        <s v="TUES" u="1"/>
        <s v="FRI" u="1"/>
        <s v="THURS" u="1"/>
      </sharedItems>
    </cacheField>
    <cacheField name="Month" numFmtId="0">
      <sharedItems containsBlank="1" count="14">
        <s v="Jul"/>
        <s v="Aug"/>
        <s v="Sep"/>
        <s v="Oct"/>
        <s v="Nov"/>
        <s v="Dec"/>
        <s v="Jan"/>
        <s v="Feb"/>
        <s v="Mar"/>
        <s v="Apr"/>
        <s v="May"/>
        <s v="Jun"/>
        <m/>
        <s v="July" u="1"/>
      </sharedItems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Name" numFmtId="0">
      <sharedItems containsBlank="1"/>
    </cacheField>
    <cacheField name="Department" numFmtId="0">
      <sharedItems containsBlank="1" containsMixedTypes="1" containsNumber="1" containsInteger="1" minValue="0" maxValue="0"/>
    </cacheField>
    <cacheField name="Time lost(hours)" numFmtId="0">
      <sharedItems containsString="0" containsBlank="1" containsNumber="1" minValue="0" maxValue="200"/>
    </cacheField>
    <cacheField name="Incident Catergory" numFmtId="0">
      <sharedItems containsBlank="1" containsMixedTypes="1" containsNumber="1" containsInteger="1" minValue="0" maxValue="0" count="4">
        <n v="0"/>
        <s v="LTI"/>
        <s v="First Aid"/>
        <m/>
      </sharedItems>
    </cacheField>
    <cacheField name="Body Part Injured" numFmtId="0">
      <sharedItems containsBlank="1" containsMixedTypes="1" containsNumber="1" containsInteger="1" minValue="0" maxValue="0" count="6">
        <n v="0"/>
        <s v="Hand"/>
        <s v="Head"/>
        <s v="Eyes"/>
        <s v="Foot"/>
        <m/>
      </sharedItems>
    </cacheField>
    <cacheField name="Total" numFmtId="0">
      <sharedItems containsString="0" containsBlank="1" containsNumber="1" containsInteger="1" minValue="0" maxValue="1"/>
    </cacheField>
    <cacheField name="Description of Injury" numFmtId="0">
      <sharedItems containsBlank="1"/>
    </cacheField>
    <cacheField name="Age" numFmtId="0">
      <sharedItems containsNonDate="0" containsString="0" containsBlank="1"/>
    </cacheField>
    <cacheField name="Type of injury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  <m/>
    <n v="0"/>
    <n v="0"/>
    <x v="0"/>
    <n v="0"/>
    <n v="0"/>
    <m/>
    <m/>
    <m/>
  </r>
  <r>
    <x v="1"/>
    <x v="0"/>
    <m/>
    <n v="0"/>
    <n v="0"/>
    <x v="0"/>
    <n v="0"/>
    <n v="0"/>
    <m/>
    <m/>
    <m/>
  </r>
  <r>
    <x v="2"/>
    <x v="0"/>
    <m/>
    <n v="0"/>
    <n v="0"/>
    <x v="0"/>
    <n v="0"/>
    <n v="0"/>
    <m/>
    <m/>
    <m/>
  </r>
  <r>
    <x v="3"/>
    <x v="0"/>
    <m/>
    <n v="0"/>
    <n v="0"/>
    <x v="0"/>
    <n v="0"/>
    <n v="0"/>
    <m/>
    <m/>
    <m/>
  </r>
  <r>
    <x v="4"/>
    <x v="0"/>
    <s v="K Khoza"/>
    <s v="Iron Tools"/>
    <n v="22.84"/>
    <x v="1"/>
    <s v="Hand"/>
    <n v="1"/>
    <s v="While polishing hammers, the head slipped and he injured his left thum nail"/>
    <m/>
    <m/>
  </r>
  <r>
    <x v="5"/>
    <x v="0"/>
    <m/>
    <n v="0"/>
    <n v="0"/>
    <x v="0"/>
    <n v="0"/>
    <n v="0"/>
    <m/>
    <m/>
    <m/>
  </r>
  <r>
    <x v="6"/>
    <x v="1"/>
    <s v="M Khanyile"/>
    <s v="HAMMERS"/>
    <n v="2"/>
    <x v="1"/>
    <s v="Head"/>
    <n v="1"/>
    <s v="Crowbar fell onto head."/>
    <m/>
    <m/>
  </r>
  <r>
    <x v="6"/>
    <x v="1"/>
    <m/>
    <n v="0"/>
    <n v="0"/>
    <x v="2"/>
    <n v="0"/>
    <n v="0"/>
    <m/>
    <m/>
    <m/>
  </r>
  <r>
    <x v="7"/>
    <x v="1"/>
    <s v="A Lamprecht"/>
    <s v="MAINTENANCE"/>
    <n v="80"/>
    <x v="1"/>
    <s v="Hand"/>
    <n v="1"/>
    <s v="Machine Part fell onto finger making a cut."/>
    <m/>
    <m/>
  </r>
  <r>
    <x v="7"/>
    <x v="1"/>
    <m/>
    <n v="0"/>
    <n v="0"/>
    <x v="2"/>
    <n v="0"/>
    <n v="0"/>
    <m/>
    <m/>
    <m/>
  </r>
  <r>
    <x v="8"/>
    <x v="1"/>
    <s v="A Lamprecht"/>
    <s v="MAINTENANCE"/>
    <n v="200"/>
    <x v="1"/>
    <s v="Hand"/>
    <n v="0"/>
    <m/>
    <m/>
    <m/>
  </r>
  <r>
    <x v="8"/>
    <x v="1"/>
    <m/>
    <n v="0"/>
    <n v="0"/>
    <x v="2"/>
    <n v="0"/>
    <n v="0"/>
    <m/>
    <m/>
    <m/>
  </r>
  <r>
    <x v="9"/>
    <x v="1"/>
    <s v="S Baloyi"/>
    <s v="HAMMERS"/>
    <n v="40.22"/>
    <x v="1"/>
    <s v="Eyes"/>
    <n v="1"/>
    <s v="Foreign object went into eye while grinding"/>
    <m/>
    <m/>
  </r>
  <r>
    <x v="9"/>
    <x v="1"/>
    <s v="T Khanyile"/>
    <s v="HAMMERS"/>
    <n v="0"/>
    <x v="1"/>
    <s v="Foot"/>
    <n v="1"/>
    <s v="Twisted ankle while getting off forklift"/>
    <m/>
    <m/>
  </r>
  <r>
    <x v="9"/>
    <x v="1"/>
    <s v="A Lamprecht"/>
    <s v="MAINTENANCE"/>
    <n v="88.5"/>
    <x v="1"/>
    <s v="Hand"/>
    <n v="0"/>
    <m/>
    <m/>
    <m/>
  </r>
  <r>
    <x v="9"/>
    <x v="1"/>
    <m/>
    <n v="0"/>
    <n v="0"/>
    <x v="2"/>
    <n v="0"/>
    <n v="0"/>
    <m/>
    <m/>
    <m/>
  </r>
  <r>
    <x v="10"/>
    <x v="1"/>
    <s v="T Khanyile"/>
    <s v="HAMMERS"/>
    <n v="29.63"/>
    <x v="1"/>
    <s v="Foot"/>
    <n v="0"/>
    <m/>
    <m/>
    <m/>
  </r>
  <r>
    <x v="10"/>
    <x v="1"/>
    <s v="A Lamprecht"/>
    <s v="MAINTENANCE"/>
    <n v="9.01"/>
    <x v="1"/>
    <s v="Hand"/>
    <n v="0"/>
    <m/>
    <m/>
    <m/>
  </r>
  <r>
    <x v="10"/>
    <x v="1"/>
    <m/>
    <n v="0"/>
    <n v="0"/>
    <x v="2"/>
    <n v="0"/>
    <n v="0"/>
    <m/>
    <m/>
    <m/>
  </r>
  <r>
    <x v="11"/>
    <x v="1"/>
    <m/>
    <n v="0"/>
    <n v="0"/>
    <x v="1"/>
    <n v="0"/>
    <n v="0"/>
    <m/>
    <m/>
    <m/>
  </r>
  <r>
    <x v="11"/>
    <x v="1"/>
    <m/>
    <n v="0"/>
    <n v="0"/>
    <x v="2"/>
    <n v="0"/>
    <n v="0"/>
    <m/>
    <m/>
    <m/>
  </r>
  <r>
    <x v="0"/>
    <x v="1"/>
    <s v="N Majola"/>
    <s v="HAMMERS"/>
    <n v="0"/>
    <x v="2"/>
    <s v="Hand"/>
    <n v="1"/>
    <s v="Bumped hand against bin injuring finger."/>
    <m/>
    <m/>
  </r>
  <r>
    <x v="0"/>
    <x v="1"/>
    <s v="S Ndlovu"/>
    <s v="RAKES"/>
    <n v="0"/>
    <x v="2"/>
    <s v="Hand"/>
    <n v="1"/>
    <s v="Cut finger while trying to cut string"/>
    <m/>
    <m/>
  </r>
  <r>
    <x v="0"/>
    <x v="1"/>
    <s v="A Lamprecht"/>
    <s v="MAINTENANCE"/>
    <n v="143"/>
    <x v="1"/>
    <s v="Hand"/>
    <n v="0"/>
    <m/>
    <m/>
    <m/>
  </r>
  <r>
    <x v="1"/>
    <x v="1"/>
    <s v="T Mpongose"/>
    <s v="HAMMERS"/>
    <n v="2.09"/>
    <x v="1"/>
    <s v="Hand"/>
    <n v="1"/>
    <s v="Cut middle finger while drilling double head slashers"/>
    <m/>
    <m/>
  </r>
  <r>
    <x v="1"/>
    <x v="1"/>
    <s v="T Motaung"/>
    <s v="HAMMERS"/>
    <n v="0"/>
    <x v="2"/>
    <s v="Hand"/>
    <n v="1"/>
    <s v="Cut finger while putting on rubber protection on the 1.8kg axe."/>
    <m/>
    <m/>
  </r>
  <r>
    <x v="1"/>
    <x v="1"/>
    <s v="A Lamprecht"/>
    <s v="MAINTENANCE"/>
    <n v="132.1"/>
    <x v="1"/>
    <s v="Hand"/>
    <n v="0"/>
    <m/>
    <m/>
    <m/>
  </r>
  <r>
    <x v="2"/>
    <x v="1"/>
    <s v="A Lamprecht"/>
    <s v="MAINTENANCE"/>
    <n v="6.27"/>
    <x v="1"/>
    <s v="Hand"/>
    <n v="0"/>
    <m/>
    <m/>
    <m/>
  </r>
  <r>
    <x v="2"/>
    <x v="1"/>
    <m/>
    <n v="0"/>
    <n v="0"/>
    <x v="2"/>
    <n v="0"/>
    <n v="0"/>
    <m/>
    <m/>
    <m/>
  </r>
  <r>
    <x v="3"/>
    <x v="1"/>
    <m/>
    <n v="0"/>
    <n v="0"/>
    <x v="2"/>
    <n v="0"/>
    <n v="0"/>
    <m/>
    <m/>
    <m/>
  </r>
  <r>
    <x v="3"/>
    <x v="1"/>
    <s v="A Lamprecht"/>
    <s v="MAINTENANCE"/>
    <n v="7.29"/>
    <x v="1"/>
    <s v="Hand"/>
    <n v="0"/>
    <m/>
    <m/>
    <m/>
  </r>
  <r>
    <x v="4"/>
    <x v="1"/>
    <s v="A Lamprecht"/>
    <s v="MAINTENANCE"/>
    <n v="0"/>
    <x v="2"/>
    <n v="0"/>
    <n v="0"/>
    <m/>
    <m/>
    <m/>
  </r>
  <r>
    <x v="4"/>
    <x v="1"/>
    <s v="A Lamprecht"/>
    <s v="MAINTENANCE"/>
    <n v="3"/>
    <x v="1"/>
    <s v="Hand"/>
    <n v="0"/>
    <m/>
    <m/>
    <m/>
  </r>
  <r>
    <x v="5"/>
    <x v="1"/>
    <s v="A Lamprecht"/>
    <s v="MAINTENANCE"/>
    <n v="0"/>
    <x v="2"/>
    <n v="0"/>
    <n v="0"/>
    <m/>
    <m/>
    <m/>
  </r>
  <r>
    <x v="5"/>
    <x v="1"/>
    <s v="A Lamprecht"/>
    <s v="MAINTENANCE"/>
    <n v="0"/>
    <x v="1"/>
    <n v="0"/>
    <n v="0"/>
    <m/>
    <m/>
    <m/>
  </r>
  <r>
    <x v="6"/>
    <x v="2"/>
    <s v="A Lamprecht"/>
    <s v="MAINTENANCE"/>
    <n v="0"/>
    <x v="2"/>
    <n v="0"/>
    <n v="0"/>
    <m/>
    <m/>
    <m/>
  </r>
  <r>
    <x v="6"/>
    <x v="2"/>
    <s v="A Lamprecht"/>
    <s v="MAINTENANCE"/>
    <n v="0"/>
    <x v="1"/>
    <n v="0"/>
    <n v="0"/>
    <m/>
    <m/>
    <m/>
  </r>
  <r>
    <x v="7"/>
    <x v="2"/>
    <s v="A Lamprecht"/>
    <s v="MAINTENANCE"/>
    <n v="0"/>
    <x v="2"/>
    <n v="0"/>
    <n v="0"/>
    <m/>
    <m/>
    <m/>
  </r>
  <r>
    <x v="7"/>
    <x v="2"/>
    <s v="A Lamprecht"/>
    <s v="MAINTENANCE"/>
    <n v="0"/>
    <x v="1"/>
    <n v="0"/>
    <n v="0"/>
    <m/>
    <m/>
    <m/>
  </r>
  <r>
    <x v="8"/>
    <x v="2"/>
    <s v="A Lamprecht"/>
    <s v="MAINTENANCE"/>
    <n v="0"/>
    <x v="2"/>
    <n v="0"/>
    <n v="0"/>
    <m/>
    <m/>
    <m/>
  </r>
  <r>
    <x v="8"/>
    <x v="2"/>
    <s v="A Lamprecht"/>
    <s v="MAINTENANCE"/>
    <n v="0"/>
    <x v="1"/>
    <n v="0"/>
    <n v="0"/>
    <m/>
    <m/>
    <m/>
  </r>
  <r>
    <x v="9"/>
    <x v="2"/>
    <s v="A Lamprecht"/>
    <s v="MAINTENANCE"/>
    <n v="0"/>
    <x v="2"/>
    <n v="0"/>
    <n v="0"/>
    <m/>
    <m/>
    <m/>
  </r>
  <r>
    <x v="9"/>
    <x v="2"/>
    <s v="A Lamprecht"/>
    <s v="MAINTENANCE"/>
    <n v="1.92"/>
    <x v="1"/>
    <n v="0"/>
    <n v="0"/>
    <m/>
    <m/>
    <m/>
  </r>
  <r>
    <x v="10"/>
    <x v="2"/>
    <s v="A Lamprecht"/>
    <s v="MAINTENANCE"/>
    <n v="9.77"/>
    <x v="2"/>
    <n v="0"/>
    <n v="0"/>
    <m/>
    <m/>
    <m/>
  </r>
  <r>
    <x v="10"/>
    <x v="2"/>
    <s v="A Lamprecht"/>
    <s v="MAINTENANCE"/>
    <n v="0"/>
    <x v="1"/>
    <n v="0"/>
    <n v="0"/>
    <m/>
    <m/>
    <m/>
  </r>
  <r>
    <x v="11"/>
    <x v="2"/>
    <s v="A Mthembu"/>
    <s v="Warehouse"/>
    <n v="3.22"/>
    <x v="1"/>
    <s v="Foot"/>
    <n v="1"/>
    <s v="Pallet fell on right leg above ankle"/>
    <m/>
    <m/>
  </r>
  <r>
    <x v="11"/>
    <x v="2"/>
    <s v="A Lamprecht"/>
    <s v="MAINTENANCE"/>
    <n v="9.5399999999999991"/>
    <x v="1"/>
    <m/>
    <n v="0"/>
    <m/>
    <m/>
    <m/>
  </r>
  <r>
    <x v="0"/>
    <x v="2"/>
    <s v="A Mthembu"/>
    <s v="Warehouse"/>
    <n v="24.76"/>
    <x v="1"/>
    <n v="0"/>
    <n v="0"/>
    <m/>
    <m/>
    <m/>
  </r>
  <r>
    <x v="0"/>
    <x v="2"/>
    <s v="A Lamprecht"/>
    <s v="MAINTENANCE"/>
    <n v="0"/>
    <x v="2"/>
    <n v="0"/>
    <n v="0"/>
    <m/>
    <m/>
    <m/>
  </r>
  <r>
    <x v="1"/>
    <x v="2"/>
    <s v="A Lamprecht"/>
    <s v="MAINTENANCE"/>
    <n v="23"/>
    <x v="1"/>
    <n v="0"/>
    <n v="0"/>
    <m/>
    <m/>
    <m/>
  </r>
  <r>
    <x v="1"/>
    <x v="2"/>
    <s v="A Lamprecht"/>
    <s v="MAINTENANCE"/>
    <n v="0"/>
    <x v="2"/>
    <n v="0"/>
    <n v="0"/>
    <m/>
    <m/>
    <m/>
  </r>
  <r>
    <x v="2"/>
    <x v="2"/>
    <m/>
    <m/>
    <n v="5.44"/>
    <x v="1"/>
    <n v="0"/>
    <n v="0"/>
    <m/>
    <m/>
    <m/>
  </r>
  <r>
    <x v="2"/>
    <x v="2"/>
    <s v="A Lamprecht"/>
    <s v="MAINTENANCE"/>
    <n v="0"/>
    <x v="2"/>
    <n v="0"/>
    <n v="0"/>
    <m/>
    <m/>
    <m/>
  </r>
  <r>
    <x v="3"/>
    <x v="2"/>
    <s v="T Masilo"/>
    <s v="HAMMERS"/>
    <n v="14.08"/>
    <x v="1"/>
    <s v="Hand"/>
    <n v="1"/>
    <s v="Club hammer fell on left pinky finger. Swelling of finger."/>
    <m/>
    <m/>
  </r>
  <r>
    <x v="3"/>
    <x v="2"/>
    <s v="A Lamprecht"/>
    <s v="MAINTENANCE"/>
    <n v="0"/>
    <x v="2"/>
    <n v="0"/>
    <n v="0"/>
    <m/>
    <m/>
    <m/>
  </r>
  <r>
    <x v="4"/>
    <x v="2"/>
    <m/>
    <m/>
    <m/>
    <x v="3"/>
    <m/>
    <m/>
    <m/>
    <m/>
    <m/>
  </r>
  <r>
    <x v="5"/>
    <x v="2"/>
    <m/>
    <m/>
    <m/>
    <x v="3"/>
    <m/>
    <m/>
    <m/>
    <m/>
    <m/>
  </r>
  <r>
    <x v="12"/>
    <x v="3"/>
    <m/>
    <m/>
    <m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m/>
    <m/>
    <s v="Jul"/>
    <x v="0"/>
    <m/>
    <x v="0"/>
    <n v="0"/>
    <x v="0"/>
    <n v="0"/>
    <n v="0"/>
  </r>
  <r>
    <m/>
    <m/>
    <s v="Aug"/>
    <x v="0"/>
    <m/>
    <x v="0"/>
    <n v="0"/>
    <x v="0"/>
    <n v="0"/>
    <n v="0"/>
  </r>
  <r>
    <m/>
    <m/>
    <s v="Sep"/>
    <x v="0"/>
    <m/>
    <x v="0"/>
    <n v="0"/>
    <x v="0"/>
    <n v="0"/>
    <n v="0"/>
  </r>
  <r>
    <m/>
    <m/>
    <s v="Oct"/>
    <x v="0"/>
    <m/>
    <x v="0"/>
    <n v="0"/>
    <x v="0"/>
    <n v="0"/>
    <n v="0"/>
  </r>
  <r>
    <d v="2023-11-16T00:00:00"/>
    <s v="THURSDAY"/>
    <s v="Nov"/>
    <x v="0"/>
    <s v="K Khoza"/>
    <x v="1"/>
    <n v="22.84"/>
    <x v="1"/>
    <s v="Hand"/>
    <n v="1"/>
  </r>
  <r>
    <m/>
    <m/>
    <s v="Dec"/>
    <x v="0"/>
    <m/>
    <x v="0"/>
    <n v="0"/>
    <x v="0"/>
    <n v="0"/>
    <n v="0"/>
  </r>
  <r>
    <s v="19/01/2024."/>
    <s v="FRIDAY"/>
    <s v="Jan"/>
    <x v="1"/>
    <s v="M Khanyile"/>
    <x v="2"/>
    <n v="2"/>
    <x v="1"/>
    <s v="Head"/>
    <n v="1"/>
  </r>
  <r>
    <m/>
    <m/>
    <s v="Jan"/>
    <x v="1"/>
    <m/>
    <x v="0"/>
    <n v="0"/>
    <x v="2"/>
    <n v="0"/>
    <n v="0"/>
  </r>
  <r>
    <d v="2024-02-07T00:00:00"/>
    <s v="WEDNESDAY"/>
    <s v="Feb"/>
    <x v="1"/>
    <s v="A Lamprecht"/>
    <x v="3"/>
    <n v="80"/>
    <x v="1"/>
    <s v="Hand"/>
    <n v="1"/>
  </r>
  <r>
    <m/>
    <m/>
    <s v="Feb"/>
    <x v="1"/>
    <m/>
    <x v="0"/>
    <n v="0"/>
    <x v="2"/>
    <n v="0"/>
    <n v="0"/>
  </r>
  <r>
    <m/>
    <m/>
    <s v="Mar"/>
    <x v="1"/>
    <s v="A Lamprecht"/>
    <x v="3"/>
    <n v="200"/>
    <x v="1"/>
    <s v="Hand"/>
    <n v="0"/>
  </r>
  <r>
    <m/>
    <m/>
    <s v="Mar"/>
    <x v="1"/>
    <m/>
    <x v="0"/>
    <n v="0"/>
    <x v="2"/>
    <n v="0"/>
    <n v="0"/>
  </r>
  <r>
    <d v="2025-04-12T00:00:00"/>
    <s v="FRIDAY"/>
    <s v="Apr"/>
    <x v="1"/>
    <s v="S Baloyi"/>
    <x v="2"/>
    <n v="40.22"/>
    <x v="1"/>
    <s v="Eyes"/>
    <n v="1"/>
  </r>
  <r>
    <d v="2024-05-14T00:00:00"/>
    <s v="TUESDAY"/>
    <s v="Apr"/>
    <x v="1"/>
    <s v="T Khanyile"/>
    <x v="2"/>
    <n v="0"/>
    <x v="1"/>
    <s v="Foot"/>
    <n v="1"/>
  </r>
  <r>
    <m/>
    <m/>
    <s v="Apr"/>
    <x v="1"/>
    <s v="A Lamprecht"/>
    <x v="3"/>
    <n v="88.5"/>
    <x v="1"/>
    <s v="Hand"/>
    <n v="0"/>
  </r>
  <r>
    <m/>
    <m/>
    <s v="Apr"/>
    <x v="1"/>
    <m/>
    <x v="0"/>
    <n v="0"/>
    <x v="2"/>
    <n v="0"/>
    <n v="0"/>
  </r>
  <r>
    <m/>
    <m/>
    <s v="May"/>
    <x v="1"/>
    <s v="T Khanyile"/>
    <x v="2"/>
    <n v="29.63"/>
    <x v="1"/>
    <s v="Foot"/>
    <n v="0"/>
  </r>
  <r>
    <m/>
    <m/>
    <s v="May"/>
    <x v="1"/>
    <s v="A Lamprecht"/>
    <x v="3"/>
    <n v="9.01"/>
    <x v="1"/>
    <s v="Hand"/>
    <n v="0"/>
  </r>
  <r>
    <m/>
    <m/>
    <s v="May"/>
    <x v="1"/>
    <m/>
    <x v="0"/>
    <n v="0"/>
    <x v="2"/>
    <n v="0"/>
    <n v="0"/>
  </r>
  <r>
    <m/>
    <s v="MONDAY"/>
    <s v="Jun"/>
    <x v="1"/>
    <m/>
    <x v="0"/>
    <n v="0"/>
    <x v="1"/>
    <n v="0"/>
    <n v="0"/>
  </r>
  <r>
    <m/>
    <s v="THURSDAY"/>
    <s v="Jun"/>
    <x v="1"/>
    <m/>
    <x v="0"/>
    <n v="0"/>
    <x v="2"/>
    <n v="0"/>
    <n v="0"/>
  </r>
  <r>
    <d v="2024-07-12T00:00:00"/>
    <s v="FRIDAY"/>
    <s v="Jul"/>
    <x v="1"/>
    <s v="N Majola"/>
    <x v="2"/>
    <n v="0"/>
    <x v="2"/>
    <s v="Hand"/>
    <n v="1"/>
  </r>
  <r>
    <d v="2024-07-23T00:00:00"/>
    <s v="TUESDAY"/>
    <s v="Jul"/>
    <x v="1"/>
    <s v="S Ndlovu"/>
    <x v="4"/>
    <n v="0"/>
    <x v="2"/>
    <s v="Hand"/>
    <n v="1"/>
  </r>
  <r>
    <m/>
    <m/>
    <s v="Jul"/>
    <x v="1"/>
    <s v="A Lamprecht"/>
    <x v="3"/>
    <n v="143"/>
    <x v="1"/>
    <s v="Hand"/>
    <n v="0"/>
  </r>
  <r>
    <d v="2024-08-02T00:00:00"/>
    <s v="FRIDAY"/>
    <s v="Aug"/>
    <x v="1"/>
    <s v="T Mpongose"/>
    <x v="2"/>
    <n v="2.09"/>
    <x v="1"/>
    <s v="Hand"/>
    <n v="1"/>
  </r>
  <r>
    <d v="2024-08-08T00:00:00"/>
    <s v="THURSDAY"/>
    <s v="Aug"/>
    <x v="1"/>
    <s v="T Motaung"/>
    <x v="2"/>
    <n v="0"/>
    <x v="2"/>
    <s v="Hand"/>
    <n v="1"/>
  </r>
  <r>
    <m/>
    <m/>
    <s v="Aug"/>
    <x v="1"/>
    <s v="A Lamprecht"/>
    <x v="3"/>
    <n v="132.1"/>
    <x v="1"/>
    <s v="Hand"/>
    <n v="0"/>
  </r>
  <r>
    <m/>
    <m/>
    <s v="Sep"/>
    <x v="1"/>
    <s v="A Lamprecht"/>
    <x v="3"/>
    <n v="6.27"/>
    <x v="1"/>
    <s v="Hand"/>
    <n v="0"/>
  </r>
  <r>
    <m/>
    <m/>
    <s v="Sep"/>
    <x v="1"/>
    <m/>
    <x v="0"/>
    <n v="0"/>
    <x v="2"/>
    <n v="0"/>
    <n v="0"/>
  </r>
  <r>
    <m/>
    <m/>
    <s v="Oct"/>
    <x v="1"/>
    <m/>
    <x v="0"/>
    <n v="0"/>
    <x v="2"/>
    <n v="0"/>
    <n v="0"/>
  </r>
  <r>
    <m/>
    <m/>
    <s v="Oct"/>
    <x v="1"/>
    <s v="A Lamprecht"/>
    <x v="3"/>
    <n v="7.29"/>
    <x v="1"/>
    <s v="Hand"/>
    <n v="0"/>
  </r>
  <r>
    <d v="2004-11-01T00:00:00"/>
    <m/>
    <s v="Nov"/>
    <x v="1"/>
    <s v="A Lamprecht"/>
    <x v="3"/>
    <n v="0"/>
    <x v="2"/>
    <n v="0"/>
    <n v="0"/>
  </r>
  <r>
    <m/>
    <m/>
    <s v="Nov"/>
    <x v="1"/>
    <s v="A Lamprecht"/>
    <x v="3"/>
    <n v="3"/>
    <x v="1"/>
    <s v="Hand"/>
    <n v="0"/>
  </r>
  <r>
    <d v="2024-12-01T00:00:00"/>
    <m/>
    <s v="Dec"/>
    <x v="1"/>
    <s v="A Lamprecht"/>
    <x v="3"/>
    <n v="0"/>
    <x v="2"/>
    <n v="0"/>
    <n v="0"/>
  </r>
  <r>
    <m/>
    <m/>
    <s v="Dec"/>
    <x v="1"/>
    <s v="A Lamprecht"/>
    <x v="3"/>
    <n v="0"/>
    <x v="1"/>
    <n v="0"/>
    <n v="0"/>
  </r>
  <r>
    <d v="2025-01-01T00:00:00"/>
    <m/>
    <s v="Jan"/>
    <x v="2"/>
    <s v="A Lamprecht"/>
    <x v="3"/>
    <n v="0"/>
    <x v="2"/>
    <n v="0"/>
    <n v="0"/>
  </r>
  <r>
    <m/>
    <m/>
    <s v="Jan"/>
    <x v="2"/>
    <s v="A Lamprecht"/>
    <x v="3"/>
    <n v="0"/>
    <x v="1"/>
    <n v="0"/>
    <n v="0"/>
  </r>
  <r>
    <d v="2025-01-01T00:00:00"/>
    <m/>
    <s v="Feb"/>
    <x v="2"/>
    <s v="A Lamprecht"/>
    <x v="3"/>
    <n v="0"/>
    <x v="2"/>
    <n v="0"/>
    <n v="0"/>
  </r>
  <r>
    <m/>
    <m/>
    <s v="Feb"/>
    <x v="2"/>
    <s v="A Lamprecht"/>
    <x v="3"/>
    <n v="0"/>
    <x v="1"/>
    <n v="0"/>
    <n v="0"/>
  </r>
  <r>
    <d v="2025-03-01T00:00:00"/>
    <m/>
    <s v="Mar"/>
    <x v="2"/>
    <s v="A Lamprecht"/>
    <x v="3"/>
    <n v="0"/>
    <x v="2"/>
    <n v="0"/>
    <n v="0"/>
  </r>
  <r>
    <m/>
    <m/>
    <s v="Mar"/>
    <x v="2"/>
    <s v="A Lamprecht"/>
    <x v="3"/>
    <n v="0"/>
    <x v="1"/>
    <n v="0"/>
    <n v="0"/>
  </r>
  <r>
    <d v="2025-04-01T00:00:00"/>
    <m/>
    <s v="Apr"/>
    <x v="2"/>
    <s v="A Lamprecht"/>
    <x v="3"/>
    <n v="0"/>
    <x v="2"/>
    <n v="0"/>
    <n v="0"/>
  </r>
  <r>
    <m/>
    <m/>
    <s v="Apr"/>
    <x v="2"/>
    <s v="A Lamprecht"/>
    <x v="3"/>
    <n v="1.92"/>
    <x v="1"/>
    <n v="0"/>
    <n v="0"/>
  </r>
  <r>
    <d v="2025-05-01T00:00:00"/>
    <m/>
    <s v="May"/>
    <x v="2"/>
    <s v="A Lamprecht"/>
    <x v="3"/>
    <n v="9.77"/>
    <x v="2"/>
    <n v="0"/>
    <n v="0"/>
  </r>
  <r>
    <m/>
    <m/>
    <s v="May"/>
    <x v="2"/>
    <s v="A Lamprecht"/>
    <x v="3"/>
    <n v="0"/>
    <x v="1"/>
    <n v="0"/>
    <n v="0"/>
  </r>
  <r>
    <d v="2025-06-13T00:00:00"/>
    <s v="FRIDAY"/>
    <s v="Jun"/>
    <x v="2"/>
    <s v="A Mthembu"/>
    <x v="5"/>
    <n v="3.22"/>
    <x v="1"/>
    <s v="Foot"/>
    <n v="1"/>
  </r>
  <r>
    <m/>
    <m/>
    <s v="Jun"/>
    <x v="2"/>
    <s v="A Lamprecht"/>
    <x v="3"/>
    <n v="9.5399999999999991"/>
    <x v="1"/>
    <m/>
    <n v="0"/>
  </r>
  <r>
    <d v="2025-07-01T00:00:00"/>
    <m/>
    <s v="Jul"/>
    <x v="2"/>
    <s v="A Mthembu"/>
    <x v="5"/>
    <n v="24.76"/>
    <x v="1"/>
    <n v="0"/>
    <n v="0"/>
  </r>
  <r>
    <m/>
    <m/>
    <s v="Jul"/>
    <x v="2"/>
    <s v="A Lamprecht"/>
    <x v="3"/>
    <n v="0"/>
    <x v="2"/>
    <n v="0"/>
    <n v="0"/>
  </r>
  <r>
    <d v="2025-08-01T00:00:00"/>
    <m/>
    <s v="Aug"/>
    <x v="2"/>
    <s v="A Lamprecht"/>
    <x v="3"/>
    <n v="23"/>
    <x v="1"/>
    <n v="0"/>
    <n v="0"/>
  </r>
  <r>
    <m/>
    <m/>
    <s v="Aug"/>
    <x v="2"/>
    <s v="A Lamprecht"/>
    <x v="3"/>
    <n v="0"/>
    <x v="2"/>
    <n v="0"/>
    <n v="0"/>
  </r>
  <r>
    <d v="2025-09-01T00:00:00"/>
    <m/>
    <s v="Sep"/>
    <x v="2"/>
    <m/>
    <x v="6"/>
    <n v="5.44"/>
    <x v="1"/>
    <n v="0"/>
    <n v="0"/>
  </r>
  <r>
    <m/>
    <m/>
    <s v="Sep"/>
    <x v="2"/>
    <s v="A Lamprecht"/>
    <x v="3"/>
    <n v="0"/>
    <x v="2"/>
    <n v="0"/>
    <n v="0"/>
  </r>
  <r>
    <d v="2025-10-31T00:00:00"/>
    <s v="FRIDAY"/>
    <s v="Oct"/>
    <x v="2"/>
    <s v="T Masilo"/>
    <x v="2"/>
    <n v="14.08"/>
    <x v="1"/>
    <s v="Hand"/>
    <n v="1"/>
  </r>
  <r>
    <m/>
    <m/>
    <s v="Oct"/>
    <x v="2"/>
    <s v="A Lamprecht"/>
    <x v="3"/>
    <n v="0"/>
    <x v="2"/>
    <n v="0"/>
    <n v="0"/>
  </r>
  <r>
    <m/>
    <m/>
    <s v="Nov"/>
    <x v="2"/>
    <m/>
    <x v="6"/>
    <m/>
    <x v="3"/>
    <m/>
    <m/>
  </r>
  <r>
    <m/>
    <m/>
    <s v="Dec"/>
    <x v="2"/>
    <m/>
    <x v="6"/>
    <m/>
    <x v="3"/>
    <m/>
    <m/>
  </r>
  <r>
    <m/>
    <m/>
    <m/>
    <x v="3"/>
    <m/>
    <x v="6"/>
    <m/>
    <x v="3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m/>
    <x v="0"/>
    <x v="0"/>
    <x v="0"/>
    <m/>
    <n v="0"/>
    <n v="0"/>
    <x v="0"/>
    <x v="0"/>
    <n v="0"/>
    <m/>
    <m/>
    <m/>
  </r>
  <r>
    <m/>
    <x v="0"/>
    <x v="1"/>
    <x v="0"/>
    <m/>
    <n v="0"/>
    <n v="0"/>
    <x v="0"/>
    <x v="0"/>
    <n v="0"/>
    <m/>
    <m/>
    <m/>
  </r>
  <r>
    <m/>
    <x v="0"/>
    <x v="2"/>
    <x v="0"/>
    <m/>
    <n v="0"/>
    <n v="0"/>
    <x v="0"/>
    <x v="0"/>
    <n v="0"/>
    <m/>
    <m/>
    <m/>
  </r>
  <r>
    <m/>
    <x v="0"/>
    <x v="3"/>
    <x v="0"/>
    <m/>
    <n v="0"/>
    <n v="0"/>
    <x v="0"/>
    <x v="0"/>
    <n v="0"/>
    <m/>
    <m/>
    <m/>
  </r>
  <r>
    <d v="2023-11-16T00:00:00"/>
    <x v="1"/>
    <x v="4"/>
    <x v="0"/>
    <s v="K Khoza"/>
    <s v="Iron Tools"/>
    <n v="22.84"/>
    <x v="1"/>
    <x v="1"/>
    <n v="1"/>
    <s v="While polishing hammers, the head slipped and he injured his left thum nail"/>
    <m/>
    <m/>
  </r>
  <r>
    <m/>
    <x v="0"/>
    <x v="5"/>
    <x v="0"/>
    <m/>
    <n v="0"/>
    <n v="0"/>
    <x v="0"/>
    <x v="0"/>
    <n v="0"/>
    <m/>
    <m/>
    <m/>
  </r>
  <r>
    <s v="19/01/2024."/>
    <x v="2"/>
    <x v="6"/>
    <x v="1"/>
    <s v="M Khanyile"/>
    <s v="HAMMERS"/>
    <n v="2"/>
    <x v="1"/>
    <x v="2"/>
    <n v="1"/>
    <s v="Crowbar fell onto head."/>
    <m/>
    <m/>
  </r>
  <r>
    <m/>
    <x v="0"/>
    <x v="6"/>
    <x v="1"/>
    <m/>
    <n v="0"/>
    <n v="0"/>
    <x v="2"/>
    <x v="0"/>
    <n v="0"/>
    <m/>
    <m/>
    <m/>
  </r>
  <r>
    <d v="2024-02-07T00:00:00"/>
    <x v="3"/>
    <x v="7"/>
    <x v="1"/>
    <s v="A Lamprecht"/>
    <s v="MAINTENANCE"/>
    <n v="80"/>
    <x v="1"/>
    <x v="1"/>
    <n v="1"/>
    <s v="Machine Part fell onto finger making a cut."/>
    <m/>
    <m/>
  </r>
  <r>
    <m/>
    <x v="0"/>
    <x v="7"/>
    <x v="1"/>
    <m/>
    <n v="0"/>
    <n v="0"/>
    <x v="2"/>
    <x v="0"/>
    <n v="0"/>
    <m/>
    <m/>
    <m/>
  </r>
  <r>
    <m/>
    <x v="0"/>
    <x v="8"/>
    <x v="1"/>
    <s v="A Lamprecht"/>
    <s v="MAINTENANCE"/>
    <n v="200"/>
    <x v="1"/>
    <x v="1"/>
    <n v="0"/>
    <m/>
    <m/>
    <m/>
  </r>
  <r>
    <m/>
    <x v="0"/>
    <x v="8"/>
    <x v="1"/>
    <m/>
    <n v="0"/>
    <n v="0"/>
    <x v="2"/>
    <x v="0"/>
    <n v="0"/>
    <m/>
    <m/>
    <m/>
  </r>
  <r>
    <d v="2025-04-12T00:00:00"/>
    <x v="2"/>
    <x v="9"/>
    <x v="1"/>
    <s v="S Baloyi"/>
    <s v="HAMMERS"/>
    <n v="40.22"/>
    <x v="1"/>
    <x v="3"/>
    <n v="1"/>
    <s v="Foreign object went into eye while grinding"/>
    <m/>
    <m/>
  </r>
  <r>
    <d v="2024-05-14T00:00:00"/>
    <x v="4"/>
    <x v="9"/>
    <x v="1"/>
    <s v="T Khanyile"/>
    <s v="HAMMERS"/>
    <n v="0"/>
    <x v="1"/>
    <x v="4"/>
    <n v="1"/>
    <s v="Twisted ankle while getting off forklift"/>
    <m/>
    <m/>
  </r>
  <r>
    <m/>
    <x v="0"/>
    <x v="9"/>
    <x v="1"/>
    <s v="A Lamprecht"/>
    <s v="MAINTENANCE"/>
    <n v="88.5"/>
    <x v="1"/>
    <x v="1"/>
    <n v="0"/>
    <m/>
    <m/>
    <m/>
  </r>
  <r>
    <m/>
    <x v="0"/>
    <x v="9"/>
    <x v="1"/>
    <m/>
    <n v="0"/>
    <n v="0"/>
    <x v="2"/>
    <x v="0"/>
    <n v="0"/>
    <m/>
    <m/>
    <m/>
  </r>
  <r>
    <m/>
    <x v="0"/>
    <x v="10"/>
    <x v="1"/>
    <s v="T Khanyile"/>
    <s v="HAMMERS"/>
    <n v="29.63"/>
    <x v="1"/>
    <x v="4"/>
    <n v="0"/>
    <m/>
    <m/>
    <m/>
  </r>
  <r>
    <m/>
    <x v="0"/>
    <x v="10"/>
    <x v="1"/>
    <s v="A Lamprecht"/>
    <s v="MAINTENANCE"/>
    <n v="9.01"/>
    <x v="1"/>
    <x v="1"/>
    <n v="0"/>
    <m/>
    <m/>
    <m/>
  </r>
  <r>
    <m/>
    <x v="0"/>
    <x v="10"/>
    <x v="1"/>
    <m/>
    <n v="0"/>
    <n v="0"/>
    <x v="2"/>
    <x v="0"/>
    <n v="0"/>
    <m/>
    <m/>
    <m/>
  </r>
  <r>
    <m/>
    <x v="5"/>
    <x v="11"/>
    <x v="1"/>
    <m/>
    <n v="0"/>
    <n v="0"/>
    <x v="1"/>
    <x v="0"/>
    <n v="0"/>
    <m/>
    <m/>
    <m/>
  </r>
  <r>
    <m/>
    <x v="1"/>
    <x v="11"/>
    <x v="1"/>
    <m/>
    <n v="0"/>
    <n v="0"/>
    <x v="2"/>
    <x v="0"/>
    <n v="0"/>
    <m/>
    <m/>
    <m/>
  </r>
  <r>
    <d v="2024-07-12T00:00:00"/>
    <x v="2"/>
    <x v="0"/>
    <x v="1"/>
    <s v="N Majola"/>
    <s v="HAMMERS"/>
    <n v="0"/>
    <x v="2"/>
    <x v="1"/>
    <n v="1"/>
    <s v="Bumped hand against bin injuring finger."/>
    <m/>
    <m/>
  </r>
  <r>
    <d v="2024-07-23T00:00:00"/>
    <x v="4"/>
    <x v="0"/>
    <x v="1"/>
    <s v="S Ndlovu"/>
    <s v="RAKES"/>
    <n v="0"/>
    <x v="2"/>
    <x v="1"/>
    <n v="1"/>
    <s v="Cut finger while trying to cut string"/>
    <m/>
    <m/>
  </r>
  <r>
    <m/>
    <x v="0"/>
    <x v="0"/>
    <x v="1"/>
    <s v="A Lamprecht"/>
    <s v="MAINTENANCE"/>
    <n v="143"/>
    <x v="1"/>
    <x v="1"/>
    <n v="0"/>
    <m/>
    <m/>
    <m/>
  </r>
  <r>
    <d v="2024-08-02T00:00:00"/>
    <x v="2"/>
    <x v="1"/>
    <x v="1"/>
    <s v="T Mpongose"/>
    <s v="HAMMERS"/>
    <n v="2.09"/>
    <x v="1"/>
    <x v="1"/>
    <n v="1"/>
    <s v="Cut middle finger while drilling double head slashers"/>
    <m/>
    <m/>
  </r>
  <r>
    <d v="2024-08-08T00:00:00"/>
    <x v="1"/>
    <x v="1"/>
    <x v="1"/>
    <s v="T Motaung"/>
    <s v="HAMMERS"/>
    <n v="0"/>
    <x v="2"/>
    <x v="1"/>
    <n v="1"/>
    <s v="Cut finger while putting on rubber protection on the 1.8kg axe."/>
    <m/>
    <m/>
  </r>
  <r>
    <m/>
    <x v="0"/>
    <x v="1"/>
    <x v="1"/>
    <s v="A Lamprecht"/>
    <s v="MAINTENANCE"/>
    <n v="132.1"/>
    <x v="1"/>
    <x v="1"/>
    <n v="0"/>
    <m/>
    <m/>
    <m/>
  </r>
  <r>
    <m/>
    <x v="0"/>
    <x v="2"/>
    <x v="1"/>
    <s v="A Lamprecht"/>
    <s v="MAINTENANCE"/>
    <n v="6.27"/>
    <x v="1"/>
    <x v="1"/>
    <n v="0"/>
    <m/>
    <m/>
    <m/>
  </r>
  <r>
    <m/>
    <x v="0"/>
    <x v="2"/>
    <x v="1"/>
    <m/>
    <n v="0"/>
    <n v="0"/>
    <x v="2"/>
    <x v="0"/>
    <n v="0"/>
    <m/>
    <m/>
    <m/>
  </r>
  <r>
    <m/>
    <x v="0"/>
    <x v="3"/>
    <x v="1"/>
    <m/>
    <n v="0"/>
    <n v="0"/>
    <x v="2"/>
    <x v="0"/>
    <n v="0"/>
    <m/>
    <m/>
    <m/>
  </r>
  <r>
    <m/>
    <x v="0"/>
    <x v="3"/>
    <x v="1"/>
    <s v="A Lamprecht"/>
    <s v="MAINTENANCE"/>
    <n v="7.29"/>
    <x v="1"/>
    <x v="1"/>
    <n v="0"/>
    <m/>
    <m/>
    <m/>
  </r>
  <r>
    <d v="2004-11-01T00:00:00"/>
    <x v="0"/>
    <x v="4"/>
    <x v="1"/>
    <s v="A Lamprecht"/>
    <s v="MAINTENANCE"/>
    <n v="0"/>
    <x v="2"/>
    <x v="0"/>
    <n v="0"/>
    <m/>
    <m/>
    <m/>
  </r>
  <r>
    <m/>
    <x v="0"/>
    <x v="4"/>
    <x v="1"/>
    <s v="A Lamprecht"/>
    <s v="MAINTENANCE"/>
    <n v="3"/>
    <x v="1"/>
    <x v="1"/>
    <n v="0"/>
    <m/>
    <m/>
    <m/>
  </r>
  <r>
    <d v="2024-12-01T00:00:00"/>
    <x v="0"/>
    <x v="5"/>
    <x v="1"/>
    <s v="A Lamprecht"/>
    <s v="MAINTENANCE"/>
    <n v="0"/>
    <x v="2"/>
    <x v="0"/>
    <n v="0"/>
    <m/>
    <m/>
    <m/>
  </r>
  <r>
    <m/>
    <x v="0"/>
    <x v="5"/>
    <x v="1"/>
    <s v="A Lamprecht"/>
    <s v="MAINTENANCE"/>
    <n v="0"/>
    <x v="1"/>
    <x v="0"/>
    <n v="0"/>
    <m/>
    <m/>
    <m/>
  </r>
  <r>
    <d v="2025-01-01T00:00:00"/>
    <x v="0"/>
    <x v="6"/>
    <x v="2"/>
    <s v="A Lamprecht"/>
    <s v="MAINTENANCE"/>
    <n v="0"/>
    <x v="2"/>
    <x v="0"/>
    <n v="0"/>
    <m/>
    <m/>
    <m/>
  </r>
  <r>
    <m/>
    <x v="0"/>
    <x v="6"/>
    <x v="2"/>
    <s v="A Lamprecht"/>
    <s v="MAINTENANCE"/>
    <n v="0"/>
    <x v="1"/>
    <x v="0"/>
    <n v="0"/>
    <m/>
    <m/>
    <m/>
  </r>
  <r>
    <d v="2025-01-01T00:00:00"/>
    <x v="0"/>
    <x v="7"/>
    <x v="2"/>
    <s v="A Lamprecht"/>
    <s v="MAINTENANCE"/>
    <n v="0"/>
    <x v="2"/>
    <x v="0"/>
    <n v="0"/>
    <m/>
    <m/>
    <m/>
  </r>
  <r>
    <m/>
    <x v="0"/>
    <x v="7"/>
    <x v="2"/>
    <s v="A Lamprecht"/>
    <s v="MAINTENANCE"/>
    <n v="0"/>
    <x v="1"/>
    <x v="0"/>
    <n v="0"/>
    <m/>
    <m/>
    <m/>
  </r>
  <r>
    <d v="2025-03-01T00:00:00"/>
    <x v="0"/>
    <x v="8"/>
    <x v="2"/>
    <s v="A Lamprecht"/>
    <s v="MAINTENANCE"/>
    <n v="0"/>
    <x v="2"/>
    <x v="0"/>
    <n v="0"/>
    <m/>
    <m/>
    <m/>
  </r>
  <r>
    <m/>
    <x v="0"/>
    <x v="8"/>
    <x v="2"/>
    <s v="A Lamprecht"/>
    <s v="MAINTENANCE"/>
    <n v="0"/>
    <x v="1"/>
    <x v="0"/>
    <n v="0"/>
    <m/>
    <m/>
    <m/>
  </r>
  <r>
    <d v="2025-04-01T00:00:00"/>
    <x v="0"/>
    <x v="9"/>
    <x v="2"/>
    <s v="A Lamprecht"/>
    <s v="MAINTENANCE"/>
    <n v="0"/>
    <x v="2"/>
    <x v="0"/>
    <n v="0"/>
    <m/>
    <m/>
    <m/>
  </r>
  <r>
    <m/>
    <x v="0"/>
    <x v="9"/>
    <x v="2"/>
    <s v="A Lamprecht"/>
    <s v="MAINTENANCE"/>
    <n v="1.92"/>
    <x v="1"/>
    <x v="0"/>
    <n v="0"/>
    <m/>
    <m/>
    <m/>
  </r>
  <r>
    <d v="2025-05-01T00:00:00"/>
    <x v="0"/>
    <x v="10"/>
    <x v="2"/>
    <s v="A Lamprecht"/>
    <s v="MAINTENANCE"/>
    <n v="9.77"/>
    <x v="2"/>
    <x v="0"/>
    <n v="0"/>
    <m/>
    <m/>
    <m/>
  </r>
  <r>
    <m/>
    <x v="0"/>
    <x v="10"/>
    <x v="2"/>
    <s v="A Lamprecht"/>
    <s v="MAINTENANCE"/>
    <n v="0"/>
    <x v="1"/>
    <x v="0"/>
    <n v="0"/>
    <m/>
    <m/>
    <m/>
  </r>
  <r>
    <d v="2025-06-13T00:00:00"/>
    <x v="2"/>
    <x v="11"/>
    <x v="2"/>
    <s v="A Mthembu"/>
    <s v="Warehouse"/>
    <n v="3.22"/>
    <x v="1"/>
    <x v="4"/>
    <n v="1"/>
    <s v="Pallet fell on right leg above ankle"/>
    <m/>
    <m/>
  </r>
  <r>
    <m/>
    <x v="0"/>
    <x v="11"/>
    <x v="2"/>
    <s v="A Lamprecht"/>
    <s v="MAINTENANCE"/>
    <n v="9.5399999999999991"/>
    <x v="1"/>
    <x v="5"/>
    <n v="0"/>
    <m/>
    <m/>
    <m/>
  </r>
  <r>
    <d v="2025-07-01T00:00:00"/>
    <x v="0"/>
    <x v="0"/>
    <x v="2"/>
    <s v="A Mthembu"/>
    <s v="Warehouse"/>
    <n v="24.76"/>
    <x v="1"/>
    <x v="0"/>
    <n v="0"/>
    <m/>
    <m/>
    <m/>
  </r>
  <r>
    <m/>
    <x v="0"/>
    <x v="0"/>
    <x v="2"/>
    <s v="A Lamprecht"/>
    <s v="MAINTENANCE"/>
    <n v="0"/>
    <x v="2"/>
    <x v="0"/>
    <n v="0"/>
    <m/>
    <m/>
    <m/>
  </r>
  <r>
    <d v="2025-08-01T00:00:00"/>
    <x v="0"/>
    <x v="1"/>
    <x v="2"/>
    <s v="A Lamprecht"/>
    <s v="MAINTENANCE"/>
    <n v="23"/>
    <x v="1"/>
    <x v="0"/>
    <n v="0"/>
    <m/>
    <m/>
    <m/>
  </r>
  <r>
    <m/>
    <x v="0"/>
    <x v="1"/>
    <x v="2"/>
    <s v="A Lamprecht"/>
    <s v="MAINTENANCE"/>
    <n v="0"/>
    <x v="2"/>
    <x v="0"/>
    <n v="0"/>
    <m/>
    <m/>
    <m/>
  </r>
  <r>
    <d v="2025-09-01T00:00:00"/>
    <x v="0"/>
    <x v="2"/>
    <x v="2"/>
    <m/>
    <m/>
    <n v="5.44"/>
    <x v="1"/>
    <x v="0"/>
    <n v="0"/>
    <m/>
    <m/>
    <m/>
  </r>
  <r>
    <m/>
    <x v="0"/>
    <x v="2"/>
    <x v="2"/>
    <s v="A Lamprecht"/>
    <s v="MAINTENANCE"/>
    <n v="0"/>
    <x v="2"/>
    <x v="0"/>
    <n v="0"/>
    <m/>
    <m/>
    <m/>
  </r>
  <r>
    <d v="2025-10-31T00:00:00"/>
    <x v="2"/>
    <x v="3"/>
    <x v="2"/>
    <s v="T Masilo"/>
    <s v="HAMMERS"/>
    <n v="14.08"/>
    <x v="1"/>
    <x v="1"/>
    <n v="1"/>
    <s v="Club hammer fell on left pinky finger. Swelling of finger."/>
    <m/>
    <m/>
  </r>
  <r>
    <m/>
    <x v="0"/>
    <x v="3"/>
    <x v="2"/>
    <s v="A Lamprecht"/>
    <s v="MAINTENANCE"/>
    <n v="0"/>
    <x v="2"/>
    <x v="0"/>
    <n v="0"/>
    <m/>
    <m/>
    <m/>
  </r>
  <r>
    <m/>
    <x v="0"/>
    <x v="4"/>
    <x v="2"/>
    <m/>
    <m/>
    <m/>
    <x v="3"/>
    <x v="5"/>
    <m/>
    <m/>
    <m/>
    <m/>
  </r>
  <r>
    <m/>
    <x v="0"/>
    <x v="5"/>
    <x v="2"/>
    <m/>
    <m/>
    <m/>
    <x v="3"/>
    <x v="5"/>
    <m/>
    <m/>
    <m/>
    <m/>
  </r>
  <r>
    <m/>
    <x v="0"/>
    <x v="12"/>
    <x v="3"/>
    <m/>
    <m/>
    <m/>
    <x v="3"/>
    <x v="5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ED493-CF5D-43BA-B53C-A4B249A21472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A3:B6" firstHeaderRow="1" firstDataRow="1" firstDataCol="1" rowPageCount="1" colPageCount="1"/>
  <pivotFields count="10">
    <pivotField showAll="0"/>
    <pivotField showAll="0"/>
    <pivotField showAll="0" sortType="ascending"/>
    <pivotField axis="axisPage" multipleItemSelectionAllowed="1" showAll="0">
      <items count="5">
        <item h="1" x="0"/>
        <item h="1" x="1"/>
        <item x="3"/>
        <item x="2"/>
        <item t="default"/>
      </items>
    </pivotField>
    <pivotField showAll="0"/>
    <pivotField axis="axisRow" showAll="0" sortType="ascending">
      <items count="8">
        <item h="1" x="0"/>
        <item x="2"/>
        <item h="1" x="3"/>
        <item h="1" x="6"/>
        <item x="1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numFmtId="1" showAll="0"/>
  </pivotFields>
  <rowFields count="1">
    <field x="5"/>
  </rowFields>
  <rowItems count="3">
    <i>
      <x v="1"/>
    </i>
    <i>
      <x v="6"/>
    </i>
    <i t="grand">
      <x/>
    </i>
  </rowItems>
  <colItems count="1">
    <i/>
  </colItems>
  <pageFields count="1">
    <pageField fld="3" hier="-1"/>
  </pageFields>
  <dataFields count="1">
    <dataField name="Sum of Total" fld="9" baseField="0" baseItem="0"/>
  </dataFields>
  <chartFormats count="1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39919-C57C-4707-BED2-F839587BDFB9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9">
  <location ref="A3:C7" firstHeaderRow="1" firstDataRow="2" firstDataCol="1" rowPageCount="1" colPageCount="1"/>
  <pivotFields count="13">
    <pivotField showAll="0"/>
    <pivotField showAll="0"/>
    <pivotField showAll="0" sortType="ascending"/>
    <pivotField axis="axisPage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Col" showAll="0" sortType="descending">
      <items count="5">
        <item h="1" x="3"/>
        <item x="1"/>
        <item x="2"/>
        <item h="1" x="0"/>
        <item t="default"/>
      </items>
    </pivotField>
    <pivotField axis="axisRow" showAll="0">
      <items count="7">
        <item x="3"/>
        <item x="4"/>
        <item x="1"/>
        <item x="2"/>
        <item h="1" x="0"/>
        <item h="1" x="5"/>
        <item t="default"/>
      </items>
    </pivotField>
    <pivotField dataField="1" numFmtId="1" showAll="0"/>
    <pivotField showAll="0"/>
    <pivotField showAll="0"/>
    <pivotField showAll="0"/>
  </pivotFields>
  <rowFields count="1">
    <field x="8"/>
  </rowFields>
  <rowItems count="3">
    <i>
      <x v="1"/>
    </i>
    <i>
      <x v="2"/>
    </i>
    <i t="grand">
      <x/>
    </i>
  </rowItems>
  <colFields count="1">
    <field x="7"/>
  </colFields>
  <colItems count="2">
    <i>
      <x v="1"/>
    </i>
    <i t="grand">
      <x/>
    </i>
  </colItems>
  <pageFields count="1">
    <pageField fld="3" hier="-1"/>
  </pageFields>
  <dataFields count="1">
    <dataField name="Sum of Total" fld="9" baseField="0" baseItem="0"/>
  </dataFields>
  <chartFormats count="11">
    <chartFormat chart="6" format="11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6" format="12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6" format="14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6" format="15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93A2E5-FEF6-49E4-9357-8E2462508ED0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4:A17" firstHeaderRow="1" firstDataRow="1" firstDataCol="1" rowPageCount="2" colPageCount="1"/>
  <pivotFields count="13">
    <pivotField showAll="0"/>
    <pivotField showAll="0"/>
    <pivotField axis="axisRow" showAll="0" sortType="ascending">
      <items count="15">
        <item x="6"/>
        <item m="1" x="13"/>
        <item x="7"/>
        <item x="8"/>
        <item x="9"/>
        <item x="10"/>
        <item x="11"/>
        <item x="0"/>
        <item x="1"/>
        <item x="2"/>
        <item x="3"/>
        <item x="4"/>
        <item x="5"/>
        <item h="1" x="12"/>
        <item t="default"/>
      </items>
    </pivotField>
    <pivotField axis="axisPage" multipleItemSelectionAllowed="1" showAll="0">
      <items count="5">
        <item h="1" x="0"/>
        <item x="1"/>
        <item x="3"/>
        <item h="1" x="2"/>
        <item t="default"/>
      </items>
    </pivotField>
    <pivotField showAll="0"/>
    <pivotField showAll="0"/>
    <pivotField showAll="0"/>
    <pivotField axis="axisPage" multipleItemSelectionAllowed="1" showAll="0">
      <items count="5">
        <item x="0"/>
        <item h="1" x="2"/>
        <item x="1"/>
        <item x="3"/>
        <item t="default"/>
      </items>
    </pivotField>
    <pivotField showAll="0"/>
    <pivotField numFmtId="1" showAll="0"/>
    <pivotField showAll="0"/>
    <pivotField showAll="0"/>
    <pivotField showAll="0"/>
  </pivotFields>
  <rowFields count="1">
    <field x="2"/>
  </rowFields>
  <rowItems count="13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7" hier="-1"/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C0E0C-C81A-4C26-9A5D-57756C35A6DF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4:B16" firstHeaderRow="1" firstDataRow="1" firstDataCol="1" rowPageCount="1" colPageCount="1"/>
  <pivotFields count="11">
    <pivotField axis="axisRow" showAll="0">
      <items count="16">
        <item m="1" x="13"/>
        <item x="6"/>
        <item x="7"/>
        <item x="8"/>
        <item x="9"/>
        <item x="10"/>
        <item h="1" x="12"/>
        <item x="11"/>
        <item x="0"/>
        <item x="1"/>
        <item x="2"/>
        <item x="3"/>
        <item x="4"/>
        <item x="5"/>
        <item h="1" m="1" x="14"/>
        <item t="default"/>
      </items>
    </pivotField>
    <pivotField axis="axisRow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dataField="1" showAll="0"/>
    <pivotField axis="axisPage" multipleItemSelectionAllowed="1" showAll="0">
      <items count="5">
        <item h="1" x="0"/>
        <item h="1" x="2"/>
        <item x="1"/>
        <item h="1" x="3"/>
        <item t="default"/>
      </items>
    </pivotField>
    <pivotField showAll="0"/>
    <pivotField showAll="0"/>
    <pivotField showAll="0"/>
    <pivotField showAll="0"/>
    <pivotField showAll="0"/>
  </pivotFields>
  <rowFields count="2">
    <field x="1"/>
    <field x="0"/>
  </rowFields>
  <rowItems count="12">
    <i>
      <x v="3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pageFields count="1">
    <pageField fld="5" hier="-1"/>
  </pageFields>
  <dataFields count="1">
    <dataField name="Sum of Time lost(hours)" fld="4" baseField="0" baseItem="0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2CEB2-3835-44E4-9350-CCFBDB3F01A9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9" firstHeaderRow="1" firstDataRow="1" firstDataCol="1"/>
  <pivotFields count="13">
    <pivotField showAll="0"/>
    <pivotField axis="axisRow" showAll="0" sortType="ascending">
      <items count="11">
        <item m="1" x="6"/>
        <item m="1" x="8"/>
        <item x="5"/>
        <item x="4"/>
        <item x="3"/>
        <item x="1"/>
        <item x="2"/>
        <item m="1" x="9"/>
        <item m="1" x="7"/>
        <item h="1" x="0"/>
        <item t="default"/>
      </items>
    </pivotField>
    <pivotField showAll="0"/>
    <pivotField multipleItemSelectionAllowe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" fld="9" baseField="0" baseItem="0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F67D4E-0DE4-40EE-8671-B50C93D9FB5E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24" firstHeaderRow="1" firstDataRow="1" firstDataCol="1"/>
  <pivotFields count="11">
    <pivotField axis="axisRow" showAll="0">
      <items count="16">
        <item m="1" x="13"/>
        <item x="6"/>
        <item x="7"/>
        <item x="8"/>
        <item x="9"/>
        <item x="10"/>
        <item h="1" x="12"/>
        <item x="11"/>
        <item x="0"/>
        <item x="1"/>
        <item x="2"/>
        <item x="3"/>
        <item x="4"/>
        <item x="5"/>
        <item h="1" m="1" x="14"/>
        <item t="default"/>
      </items>
    </pivotField>
    <pivotField axis="axisRow" multipleItemSelectionAllowed="1" showAll="0">
      <items count="5">
        <item x="0"/>
        <item x="1"/>
        <item h="1" x="3"/>
        <item h="1"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1"/>
    <field x="0"/>
  </rowFields>
  <rowItems count="21">
    <i>
      <x/>
    </i>
    <i r="1">
      <x v="8"/>
    </i>
    <i r="1">
      <x v="9"/>
    </i>
    <i r="1">
      <x v="10"/>
    </i>
    <i r="1">
      <x v="11"/>
    </i>
    <i r="1">
      <x v="12"/>
    </i>
    <i r="1">
      <x v="13"/>
    </i>
    <i>
      <x v="1"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Total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FBC66-A111-4093-95F6-083526CA21C9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C6" firstHeaderRow="1" firstDataRow="2" firstDataCol="1" rowPageCount="1" colPageCount="1"/>
  <pivotFields count="13">
    <pivotField showAll="0"/>
    <pivotField axis="axisRow" showAll="0" sortType="ascending">
      <items count="11">
        <item m="1" x="6"/>
        <item m="1" x="8"/>
        <item x="5"/>
        <item x="4"/>
        <item x="3"/>
        <item x="1"/>
        <item x="2"/>
        <item m="1" x="9"/>
        <item m="1" x="7"/>
        <item h="1" x="0"/>
        <item t="default"/>
      </items>
    </pivotField>
    <pivotField showAll="0"/>
    <pivotField axis="axisPage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6"/>
    </i>
    <i t="grand">
      <x/>
    </i>
  </rowItems>
  <colFields count="1">
    <field x="7"/>
  </colFields>
  <colItems count="2">
    <i>
      <x v="2"/>
    </i>
    <i t="grand">
      <x/>
    </i>
  </colItems>
  <pageFields count="1">
    <pageField fld="3" hier="-1"/>
  </pageFields>
  <dataFields count="1">
    <dataField name="Sum of Total" fld="9" baseField="0" baseItem="0"/>
  </dataFields>
  <chartFormats count="5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7B1BB-572B-450A-9F3B-96975CCDEB7C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1">
  <location ref="A3:B6" firstHeaderRow="1" firstDataRow="1" firstDataCol="1" rowPageCount="1" colPageCount="1"/>
  <pivotFields count="10">
    <pivotField showAll="0"/>
    <pivotField showAll="0"/>
    <pivotField showAll="0" sortType="ascending"/>
    <pivotField axis="axisPage" multipleItemSelectionAllowed="1" showAll="0">
      <items count="5">
        <item h="1" x="0"/>
        <item h="1" x="1"/>
        <item h="1" x="3"/>
        <item x="2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h="1" x="3"/>
        <item x="2"/>
        <item t="default"/>
      </items>
    </pivotField>
    <pivotField showAll="0"/>
    <pivotField dataField="1" numFmtId="1" showAll="0"/>
  </pivotFields>
  <rowFields count="1">
    <field x="7"/>
  </rowFields>
  <rowItems count="3">
    <i>
      <x v="1"/>
    </i>
    <i>
      <x v="3"/>
    </i>
    <i t="grand">
      <x/>
    </i>
  </rowItems>
  <colItems count="1">
    <i/>
  </colItems>
  <pageFields count="1">
    <pageField fld="3" hier="-1"/>
  </pageFields>
  <dataFields count="1">
    <dataField name="Sum of Total" fld="9" baseField="0" baseItem="0"/>
  </dataFields>
  <chartFormats count="1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134C-7245-4C17-8EAF-3B2A7B87E696}">
  <dimension ref="A1:B6"/>
  <sheetViews>
    <sheetView workbookViewId="0">
      <selection activeCell="B4" sqref="B4"/>
    </sheetView>
  </sheetViews>
  <sheetFormatPr defaultRowHeight="12.75"/>
  <cols>
    <col min="1" max="1" width="13.85546875" bestFit="1" customWidth="1"/>
    <col min="2" max="2" width="16.140625" bestFit="1" customWidth="1"/>
    <col min="3" max="4" width="11.7109375" bestFit="1" customWidth="1"/>
  </cols>
  <sheetData>
    <row r="1" spans="1:2">
      <c r="A1" s="135" t="s">
        <v>188</v>
      </c>
      <c r="B1" t="s">
        <v>353</v>
      </c>
    </row>
    <row r="3" spans="1:2">
      <c r="A3" s="135" t="s">
        <v>278</v>
      </c>
      <c r="B3" t="s">
        <v>280</v>
      </c>
    </row>
    <row r="4" spans="1:2">
      <c r="A4" s="136" t="s">
        <v>40</v>
      </c>
      <c r="B4" s="137">
        <v>1</v>
      </c>
    </row>
    <row r="5" spans="1:2">
      <c r="A5" s="136" t="s">
        <v>267</v>
      </c>
      <c r="B5" s="137">
        <v>1</v>
      </c>
    </row>
    <row r="6" spans="1:2">
      <c r="A6" s="136" t="s">
        <v>279</v>
      </c>
      <c r="B6" s="137">
        <v>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6A19-2458-4086-8C89-D45B1453FACF}">
  <sheetPr codeName="Sheet1"/>
  <dimension ref="A1:C7"/>
  <sheetViews>
    <sheetView workbookViewId="0">
      <selection activeCell="R18" sqref="R18"/>
    </sheetView>
  </sheetViews>
  <sheetFormatPr defaultRowHeight="12.75"/>
  <cols>
    <col min="1" max="1" width="13.85546875" bestFit="1" customWidth="1"/>
    <col min="2" max="2" width="17" bestFit="1" customWidth="1"/>
    <col min="3" max="4" width="11.7109375" bestFit="1" customWidth="1"/>
    <col min="5" max="5" width="5.7109375" bestFit="1" customWidth="1"/>
    <col min="6" max="6" width="2" bestFit="1" customWidth="1"/>
    <col min="7" max="7" width="11.7109375" bestFit="1" customWidth="1"/>
  </cols>
  <sheetData>
    <row r="1" spans="1:3">
      <c r="A1" s="135" t="s">
        <v>188</v>
      </c>
      <c r="B1" s="136">
        <v>2025</v>
      </c>
    </row>
    <row r="3" spans="1:3">
      <c r="A3" s="135" t="s">
        <v>280</v>
      </c>
      <c r="B3" s="135" t="s">
        <v>369</v>
      </c>
    </row>
    <row r="4" spans="1:3">
      <c r="A4" s="135" t="s">
        <v>278</v>
      </c>
      <c r="B4" t="s">
        <v>352</v>
      </c>
      <c r="C4" t="s">
        <v>279</v>
      </c>
    </row>
    <row r="5" spans="1:3">
      <c r="A5" s="136" t="s">
        <v>282</v>
      </c>
      <c r="B5" s="137">
        <v>1</v>
      </c>
      <c r="C5" s="137">
        <v>1</v>
      </c>
    </row>
    <row r="6" spans="1:3">
      <c r="A6" s="136" t="s">
        <v>229</v>
      </c>
      <c r="B6" s="137">
        <v>1</v>
      </c>
      <c r="C6" s="137">
        <v>1</v>
      </c>
    </row>
    <row r="7" spans="1:3">
      <c r="A7" s="136" t="s">
        <v>279</v>
      </c>
      <c r="B7" s="137">
        <v>2</v>
      </c>
      <c r="C7" s="137"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FF94-4C4A-4098-8A91-869AB6CBEB87}">
  <sheetPr codeName="Sheet3"/>
  <dimension ref="A1:E26"/>
  <sheetViews>
    <sheetView workbookViewId="0">
      <selection activeCell="D5" sqref="D5"/>
    </sheetView>
  </sheetViews>
  <sheetFormatPr defaultRowHeight="12.75"/>
  <cols>
    <col min="1" max="1" width="18.140625" bestFit="1" customWidth="1"/>
    <col min="2" max="2" width="17" bestFit="1" customWidth="1"/>
    <col min="3" max="3" width="11.5703125" bestFit="1" customWidth="1"/>
    <col min="5" max="5" width="13.5703125" bestFit="1" customWidth="1"/>
  </cols>
  <sheetData>
    <row r="1" spans="1:5">
      <c r="A1" s="129" t="s">
        <v>237</v>
      </c>
      <c r="B1" s="129" t="s">
        <v>246</v>
      </c>
      <c r="C1" s="129" t="s">
        <v>266</v>
      </c>
      <c r="D1" s="129" t="s">
        <v>273</v>
      </c>
      <c r="E1" s="129" t="s">
        <v>284</v>
      </c>
    </row>
    <row r="2" spans="1:5">
      <c r="A2" s="128" t="s">
        <v>238</v>
      </c>
      <c r="B2" s="128" t="s">
        <v>227</v>
      </c>
      <c r="C2" s="128" t="s">
        <v>267</v>
      </c>
      <c r="D2" s="128" t="s">
        <v>274</v>
      </c>
      <c r="E2" s="128"/>
    </row>
    <row r="3" spans="1:5">
      <c r="A3" s="128" t="s">
        <v>239</v>
      </c>
      <c r="B3" s="128" t="s">
        <v>247</v>
      </c>
      <c r="C3" s="128" t="s">
        <v>268</v>
      </c>
      <c r="D3" s="128" t="s">
        <v>275</v>
      </c>
      <c r="E3" s="128"/>
    </row>
    <row r="4" spans="1:5">
      <c r="A4" s="128" t="s">
        <v>240</v>
      </c>
      <c r="B4" s="128" t="s">
        <v>248</v>
      </c>
      <c r="C4" s="128" t="s">
        <v>269</v>
      </c>
      <c r="D4" s="128" t="s">
        <v>276</v>
      </c>
      <c r="E4" s="128"/>
    </row>
    <row r="5" spans="1:5">
      <c r="A5" s="128" t="s">
        <v>241</v>
      </c>
      <c r="B5" s="128" t="s">
        <v>249</v>
      </c>
      <c r="C5" s="128" t="s">
        <v>270</v>
      </c>
      <c r="D5" s="128"/>
      <c r="E5" s="128"/>
    </row>
    <row r="6" spans="1:5">
      <c r="A6" s="128" t="s">
        <v>242</v>
      </c>
      <c r="B6" s="128" t="s">
        <v>250</v>
      </c>
      <c r="C6" s="128"/>
      <c r="D6" s="128"/>
      <c r="E6" s="128"/>
    </row>
    <row r="7" spans="1:5">
      <c r="A7" s="128" t="s">
        <v>352</v>
      </c>
      <c r="B7" s="128" t="s">
        <v>251</v>
      </c>
      <c r="C7" s="128"/>
      <c r="D7" s="128"/>
      <c r="E7" s="128"/>
    </row>
    <row r="8" spans="1:5">
      <c r="A8" s="128" t="s">
        <v>243</v>
      </c>
      <c r="B8" s="128" t="s">
        <v>252</v>
      </c>
      <c r="C8" s="128"/>
      <c r="D8" s="128"/>
      <c r="E8" s="128"/>
    </row>
    <row r="9" spans="1:5">
      <c r="A9" s="128" t="s">
        <v>244</v>
      </c>
      <c r="B9" s="128" t="s">
        <v>253</v>
      </c>
      <c r="C9" s="128"/>
      <c r="D9" s="128"/>
      <c r="E9" s="128"/>
    </row>
    <row r="10" spans="1:5">
      <c r="A10" s="128" t="s">
        <v>245</v>
      </c>
      <c r="B10" s="128" t="s">
        <v>254</v>
      </c>
      <c r="C10" s="128"/>
      <c r="D10" s="128"/>
      <c r="E10" s="128"/>
    </row>
    <row r="11" spans="1:5">
      <c r="A11" s="128" t="s">
        <v>348</v>
      </c>
      <c r="B11" s="128" t="s">
        <v>255</v>
      </c>
      <c r="C11" s="128"/>
      <c r="D11" s="128"/>
      <c r="E11" s="128"/>
    </row>
    <row r="12" spans="1:5">
      <c r="A12" s="128"/>
      <c r="B12" s="128" t="s">
        <v>256</v>
      </c>
      <c r="C12" s="128"/>
      <c r="D12" s="128"/>
      <c r="E12" s="128"/>
    </row>
    <row r="13" spans="1:5">
      <c r="A13" s="128"/>
      <c r="B13" s="128" t="s">
        <v>229</v>
      </c>
      <c r="C13" s="128"/>
      <c r="D13" s="128"/>
      <c r="E13" s="128"/>
    </row>
    <row r="14" spans="1:5">
      <c r="A14" s="128"/>
      <c r="B14" s="128" t="s">
        <v>225</v>
      </c>
      <c r="C14" s="128"/>
      <c r="D14" s="128"/>
      <c r="E14" s="128"/>
    </row>
    <row r="15" spans="1:5">
      <c r="A15" s="128"/>
      <c r="B15" s="128" t="s">
        <v>257</v>
      </c>
      <c r="C15" s="128"/>
      <c r="D15" s="128"/>
      <c r="E15" s="128"/>
    </row>
    <row r="16" spans="1:5">
      <c r="A16" s="128"/>
      <c r="B16" s="128" t="s">
        <v>258</v>
      </c>
      <c r="C16" s="128"/>
      <c r="D16" s="128"/>
      <c r="E16" s="128"/>
    </row>
    <row r="17" spans="1:5">
      <c r="A17" s="128"/>
      <c r="B17" s="128" t="s">
        <v>55</v>
      </c>
      <c r="C17" s="128"/>
      <c r="D17" s="128"/>
      <c r="E17" s="128"/>
    </row>
    <row r="18" spans="1:5">
      <c r="A18" s="128"/>
      <c r="B18" s="128" t="s">
        <v>259</v>
      </c>
      <c r="C18" s="128"/>
      <c r="D18" s="128"/>
      <c r="E18" s="128"/>
    </row>
    <row r="19" spans="1:5">
      <c r="A19" s="128"/>
      <c r="B19" s="128" t="s">
        <v>260</v>
      </c>
      <c r="C19" s="128"/>
      <c r="D19" s="128"/>
      <c r="E19" s="128"/>
    </row>
    <row r="20" spans="1:5">
      <c r="A20" s="128"/>
      <c r="B20" s="128" t="s">
        <v>261</v>
      </c>
      <c r="C20" s="128"/>
      <c r="D20" s="128"/>
      <c r="E20" s="128"/>
    </row>
    <row r="21" spans="1:5">
      <c r="A21" s="128"/>
      <c r="B21" s="128" t="s">
        <v>262</v>
      </c>
      <c r="C21" s="128"/>
      <c r="D21" s="128"/>
      <c r="E21" s="128"/>
    </row>
    <row r="22" spans="1:5">
      <c r="A22" s="128"/>
      <c r="B22" s="128" t="s">
        <v>263</v>
      </c>
      <c r="C22" s="128"/>
      <c r="D22" s="128"/>
      <c r="E22" s="128"/>
    </row>
    <row r="23" spans="1:5">
      <c r="A23" s="128"/>
      <c r="B23" s="128" t="s">
        <v>264</v>
      </c>
      <c r="C23" s="128"/>
      <c r="D23" s="128"/>
      <c r="E23" s="128"/>
    </row>
    <row r="24" spans="1:5">
      <c r="A24" s="128"/>
      <c r="B24" s="128" t="s">
        <v>265</v>
      </c>
      <c r="C24" s="128"/>
      <c r="D24" s="128"/>
      <c r="E24" s="128"/>
    </row>
    <row r="25" spans="1:5">
      <c r="A25" s="128"/>
      <c r="B25" s="128"/>
      <c r="C25" s="128"/>
      <c r="D25" s="128"/>
      <c r="E25" s="128"/>
    </row>
    <row r="26" spans="1:5">
      <c r="A26" s="128"/>
      <c r="B26" s="128"/>
      <c r="C26" s="128"/>
      <c r="D26" s="128"/>
      <c r="E26" s="128"/>
    </row>
  </sheetData>
  <phoneticPr fontId="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54A45-AF94-4BD7-8C0C-1D859C82B159}">
  <sheetPr codeName="Sheet4"/>
  <dimension ref="A1:B17"/>
  <sheetViews>
    <sheetView workbookViewId="0">
      <selection activeCell="F32" sqref="F32"/>
    </sheetView>
  </sheetViews>
  <sheetFormatPr defaultRowHeight="12.75"/>
  <cols>
    <col min="1" max="2" width="16.140625" bestFit="1" customWidth="1"/>
    <col min="3" max="3" width="14.42578125" bestFit="1" customWidth="1"/>
    <col min="4" max="4" width="11.7109375" bestFit="1" customWidth="1"/>
  </cols>
  <sheetData>
    <row r="1" spans="1:2">
      <c r="A1" s="135" t="s">
        <v>237</v>
      </c>
      <c r="B1" t="s">
        <v>353</v>
      </c>
    </row>
    <row r="2" spans="1:2">
      <c r="A2" s="135" t="s">
        <v>188</v>
      </c>
      <c r="B2" t="s">
        <v>353</v>
      </c>
    </row>
    <row r="4" spans="1:2">
      <c r="A4" s="135" t="s">
        <v>278</v>
      </c>
    </row>
    <row r="5" spans="1:2">
      <c r="A5" s="136" t="s">
        <v>2</v>
      </c>
    </row>
    <row r="6" spans="1:2">
      <c r="A6" s="136" t="s">
        <v>31</v>
      </c>
    </row>
    <row r="7" spans="1:2">
      <c r="A7" s="136" t="s">
        <v>32</v>
      </c>
    </row>
    <row r="8" spans="1:2">
      <c r="A8" s="136" t="s">
        <v>281</v>
      </c>
    </row>
    <row r="9" spans="1:2">
      <c r="A9" s="136" t="s">
        <v>33</v>
      </c>
    </row>
    <row r="10" spans="1:2">
      <c r="A10" s="136" t="s">
        <v>346</v>
      </c>
    </row>
    <row r="11" spans="1:2">
      <c r="A11" s="136" t="s">
        <v>347</v>
      </c>
    </row>
    <row r="12" spans="1:2">
      <c r="A12" s="136" t="s">
        <v>35</v>
      </c>
    </row>
    <row r="13" spans="1:2">
      <c r="A13" s="136" t="s">
        <v>28</v>
      </c>
    </row>
    <row r="14" spans="1:2">
      <c r="A14" s="136" t="s">
        <v>36</v>
      </c>
    </row>
    <row r="15" spans="1:2">
      <c r="A15" s="136" t="s">
        <v>37</v>
      </c>
    </row>
    <row r="16" spans="1:2">
      <c r="A16" s="136" t="s">
        <v>38</v>
      </c>
    </row>
    <row r="17" spans="1:1">
      <c r="A17" s="136" t="s">
        <v>279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3D90-E30B-4108-88D1-081BD798B8FC}">
  <dimension ref="A2:B16"/>
  <sheetViews>
    <sheetView workbookViewId="0">
      <selection activeCell="P17" sqref="P17"/>
    </sheetView>
  </sheetViews>
  <sheetFormatPr defaultRowHeight="12.75"/>
  <cols>
    <col min="1" max="1" width="16.140625" bestFit="1" customWidth="1"/>
    <col min="2" max="2" width="22.85546875" bestFit="1" customWidth="1"/>
  </cols>
  <sheetData>
    <row r="2" spans="1:2">
      <c r="A2" s="135" t="s">
        <v>237</v>
      </c>
      <c r="B2" t="s">
        <v>352</v>
      </c>
    </row>
    <row r="4" spans="1:2">
      <c r="A4" s="135" t="s">
        <v>278</v>
      </c>
      <c r="B4" t="s">
        <v>393</v>
      </c>
    </row>
    <row r="5" spans="1:2">
      <c r="A5" s="136">
        <v>2025</v>
      </c>
      <c r="B5" s="137">
        <v>81.96</v>
      </c>
    </row>
    <row r="6" spans="1:2">
      <c r="A6" s="142" t="s">
        <v>2</v>
      </c>
      <c r="B6" s="137">
        <v>0</v>
      </c>
    </row>
    <row r="7" spans="1:2">
      <c r="A7" s="142" t="s">
        <v>31</v>
      </c>
      <c r="B7" s="137">
        <v>0</v>
      </c>
    </row>
    <row r="8" spans="1:2">
      <c r="A8" s="142" t="s">
        <v>32</v>
      </c>
      <c r="B8" s="137">
        <v>0</v>
      </c>
    </row>
    <row r="9" spans="1:2">
      <c r="A9" s="142" t="s">
        <v>281</v>
      </c>
      <c r="B9" s="137">
        <v>1.92</v>
      </c>
    </row>
    <row r="10" spans="1:2">
      <c r="A10" s="142" t="s">
        <v>33</v>
      </c>
      <c r="B10" s="137">
        <v>0</v>
      </c>
    </row>
    <row r="11" spans="1:2">
      <c r="A11" s="142" t="s">
        <v>346</v>
      </c>
      <c r="B11" s="137">
        <v>12.76</v>
      </c>
    </row>
    <row r="12" spans="1:2">
      <c r="A12" s="142" t="s">
        <v>347</v>
      </c>
      <c r="B12" s="137">
        <v>24.76</v>
      </c>
    </row>
    <row r="13" spans="1:2">
      <c r="A13" s="142" t="s">
        <v>35</v>
      </c>
      <c r="B13" s="137">
        <v>23</v>
      </c>
    </row>
    <row r="14" spans="1:2">
      <c r="A14" s="142" t="s">
        <v>28</v>
      </c>
      <c r="B14" s="137">
        <v>5.44</v>
      </c>
    </row>
    <row r="15" spans="1:2">
      <c r="A15" s="142" t="s">
        <v>36</v>
      </c>
      <c r="B15" s="137">
        <v>14.08</v>
      </c>
    </row>
    <row r="16" spans="1:2">
      <c r="A16" s="136" t="s">
        <v>279</v>
      </c>
      <c r="B16" s="137">
        <v>81.96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F95C-0275-49E9-9970-859FFE02B22E}">
  <dimension ref="A3:B9"/>
  <sheetViews>
    <sheetView workbookViewId="0">
      <selection activeCell="E27" sqref="E27"/>
    </sheetView>
  </sheetViews>
  <sheetFormatPr defaultRowHeight="12.75"/>
  <cols>
    <col min="1" max="1" width="13.85546875" bestFit="1" customWidth="1"/>
    <col min="2" max="2" width="12.5703125" bestFit="1" customWidth="1"/>
  </cols>
  <sheetData>
    <row r="3" spans="1:2">
      <c r="A3" s="135" t="s">
        <v>278</v>
      </c>
      <c r="B3" t="s">
        <v>280</v>
      </c>
    </row>
    <row r="4" spans="1:2">
      <c r="A4" s="136" t="s">
        <v>376</v>
      </c>
      <c r="B4" s="137">
        <v>0</v>
      </c>
    </row>
    <row r="5" spans="1:2">
      <c r="A5" s="136" t="s">
        <v>375</v>
      </c>
      <c r="B5" s="137">
        <v>2</v>
      </c>
    </row>
    <row r="6" spans="1:2">
      <c r="A6" s="136" t="s">
        <v>374</v>
      </c>
      <c r="B6" s="137">
        <v>1</v>
      </c>
    </row>
    <row r="7" spans="1:2">
      <c r="A7" s="136" t="s">
        <v>372</v>
      </c>
      <c r="B7" s="137">
        <v>2</v>
      </c>
    </row>
    <row r="8" spans="1:2">
      <c r="A8" s="136" t="s">
        <v>373</v>
      </c>
      <c r="B8" s="137">
        <v>6</v>
      </c>
    </row>
    <row r="9" spans="1:2">
      <c r="A9" s="136" t="s">
        <v>279</v>
      </c>
      <c r="B9" s="137">
        <v>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FC18-AE7F-49D0-8214-6BE14C920563}">
  <dimension ref="A3:B24"/>
  <sheetViews>
    <sheetView workbookViewId="0">
      <selection activeCell="C23" sqref="C23"/>
    </sheetView>
  </sheetViews>
  <sheetFormatPr defaultRowHeight="12.75"/>
  <cols>
    <col min="1" max="1" width="13.85546875" bestFit="1" customWidth="1"/>
    <col min="2" max="2" width="12.5703125" bestFit="1" customWidth="1"/>
  </cols>
  <sheetData>
    <row r="3" spans="1:2">
      <c r="A3" s="135" t="s">
        <v>278</v>
      </c>
      <c r="B3" t="s">
        <v>280</v>
      </c>
    </row>
    <row r="4" spans="1:2">
      <c r="A4" s="136">
        <v>2023</v>
      </c>
      <c r="B4" s="137">
        <v>1</v>
      </c>
    </row>
    <row r="5" spans="1:2">
      <c r="A5" s="142" t="s">
        <v>347</v>
      </c>
      <c r="B5" s="137">
        <v>0</v>
      </c>
    </row>
    <row r="6" spans="1:2">
      <c r="A6" s="142" t="s">
        <v>35</v>
      </c>
      <c r="B6" s="137">
        <v>0</v>
      </c>
    </row>
    <row r="7" spans="1:2">
      <c r="A7" s="142" t="s">
        <v>28</v>
      </c>
      <c r="B7" s="137">
        <v>0</v>
      </c>
    </row>
    <row r="8" spans="1:2">
      <c r="A8" s="142" t="s">
        <v>36</v>
      </c>
      <c r="B8" s="137">
        <v>0</v>
      </c>
    </row>
    <row r="9" spans="1:2">
      <c r="A9" s="142" t="s">
        <v>37</v>
      </c>
      <c r="B9" s="137">
        <v>1</v>
      </c>
    </row>
    <row r="10" spans="1:2">
      <c r="A10" s="142" t="s">
        <v>38</v>
      </c>
      <c r="B10" s="137">
        <v>0</v>
      </c>
    </row>
    <row r="11" spans="1:2">
      <c r="A11" s="136">
        <v>2024</v>
      </c>
      <c r="B11" s="137">
        <v>8</v>
      </c>
    </row>
    <row r="12" spans="1:2">
      <c r="A12" s="142" t="s">
        <v>2</v>
      </c>
      <c r="B12" s="137">
        <v>1</v>
      </c>
    </row>
    <row r="13" spans="1:2">
      <c r="A13" s="142" t="s">
        <v>31</v>
      </c>
      <c r="B13" s="137">
        <v>1</v>
      </c>
    </row>
    <row r="14" spans="1:2">
      <c r="A14" s="142" t="s">
        <v>32</v>
      </c>
      <c r="B14" s="137">
        <v>0</v>
      </c>
    </row>
    <row r="15" spans="1:2">
      <c r="A15" s="142" t="s">
        <v>281</v>
      </c>
      <c r="B15" s="137">
        <v>2</v>
      </c>
    </row>
    <row r="16" spans="1:2">
      <c r="A16" s="142" t="s">
        <v>33</v>
      </c>
      <c r="B16" s="137">
        <v>0</v>
      </c>
    </row>
    <row r="17" spans="1:2">
      <c r="A17" s="142" t="s">
        <v>346</v>
      </c>
      <c r="B17" s="137">
        <v>0</v>
      </c>
    </row>
    <row r="18" spans="1:2">
      <c r="A18" s="142" t="s">
        <v>347</v>
      </c>
      <c r="B18" s="137">
        <v>2</v>
      </c>
    </row>
    <row r="19" spans="1:2">
      <c r="A19" s="142" t="s">
        <v>35</v>
      </c>
      <c r="B19" s="137">
        <v>2</v>
      </c>
    </row>
    <row r="20" spans="1:2">
      <c r="A20" s="142" t="s">
        <v>28</v>
      </c>
      <c r="B20" s="137">
        <v>0</v>
      </c>
    </row>
    <row r="21" spans="1:2">
      <c r="A21" s="142" t="s">
        <v>36</v>
      </c>
      <c r="B21" s="137">
        <v>0</v>
      </c>
    </row>
    <row r="22" spans="1:2">
      <c r="A22" s="142" t="s">
        <v>37</v>
      </c>
      <c r="B22" s="137">
        <v>0</v>
      </c>
    </row>
    <row r="23" spans="1:2">
      <c r="A23" s="142" t="s">
        <v>38</v>
      </c>
      <c r="B23" s="137">
        <v>0</v>
      </c>
    </row>
    <row r="24" spans="1:2">
      <c r="A24" s="136" t="s">
        <v>279</v>
      </c>
      <c r="B24" s="137">
        <v>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03BB-2385-4E85-ACE0-07E6D3F3BEB5}">
  <sheetPr codeName="Sheet6"/>
  <dimension ref="A1:V58"/>
  <sheetViews>
    <sheetView tabSelected="1" workbookViewId="0">
      <selection activeCell="K6" sqref="K6"/>
    </sheetView>
  </sheetViews>
  <sheetFormatPr defaultRowHeight="12.75"/>
  <cols>
    <col min="1" max="1" width="10.140625" style="128" bestFit="1" customWidth="1"/>
    <col min="2" max="2" width="16.140625" style="161" customWidth="1"/>
    <col min="3" max="3" width="11" style="181" customWidth="1"/>
    <col min="4" max="5" width="11" style="128" customWidth="1"/>
    <col min="6" max="6" width="14.5703125" style="157" customWidth="1"/>
    <col min="7" max="7" width="11.85546875" style="155" customWidth="1"/>
    <col min="8" max="8" width="20.5703125" style="128" customWidth="1"/>
    <col min="9" max="9" width="18.5703125" style="155" customWidth="1"/>
    <col min="10" max="10" width="9.140625" style="128"/>
    <col min="11" max="11" width="29.140625" style="161" bestFit="1" customWidth="1"/>
    <col min="12" max="12" width="19.5703125" style="128" hidden="1" customWidth="1"/>
    <col min="13" max="13" width="13.5703125" style="128" hidden="1" customWidth="1"/>
    <col min="14" max="15" width="13.5703125" style="160" hidden="1" customWidth="1"/>
    <col min="16" max="16" width="10" hidden="1" customWidth="1"/>
    <col min="17" max="17" width="12.28515625" hidden="1" customWidth="1"/>
    <col min="18" max="18" width="6" hidden="1" customWidth="1"/>
    <col min="19" max="19" width="8" hidden="1" customWidth="1"/>
    <col min="20" max="20" width="10.28515625" hidden="1" customWidth="1"/>
    <col min="21" max="40" width="0" hidden="1" customWidth="1"/>
  </cols>
  <sheetData>
    <row r="1" spans="1:22" s="138" customFormat="1" ht="39.75" customHeight="1">
      <c r="A1" s="127" t="s">
        <v>349</v>
      </c>
      <c r="B1" s="164" t="s">
        <v>371</v>
      </c>
      <c r="C1" s="127" t="s">
        <v>271</v>
      </c>
      <c r="D1" s="127" t="s">
        <v>188</v>
      </c>
      <c r="E1" s="127" t="s">
        <v>350</v>
      </c>
      <c r="F1" s="127" t="s">
        <v>266</v>
      </c>
      <c r="G1" s="176" t="s">
        <v>390</v>
      </c>
      <c r="H1" s="127" t="s">
        <v>237</v>
      </c>
      <c r="I1" s="127" t="s">
        <v>246</v>
      </c>
      <c r="J1" s="127" t="s">
        <v>272</v>
      </c>
      <c r="K1" s="164" t="s">
        <v>361</v>
      </c>
      <c r="L1" s="127" t="s">
        <v>273</v>
      </c>
      <c r="M1" s="127" t="s">
        <v>283</v>
      </c>
      <c r="N1" s="171"/>
      <c r="O1" s="171"/>
      <c r="P1" s="173" t="s">
        <v>271</v>
      </c>
      <c r="Q1" s="173" t="s">
        <v>377</v>
      </c>
      <c r="R1" s="173" t="s">
        <v>378</v>
      </c>
      <c r="S1" s="173" t="s">
        <v>379</v>
      </c>
      <c r="T1" s="173" t="s">
        <v>381</v>
      </c>
      <c r="U1" s="173" t="s">
        <v>380</v>
      </c>
      <c r="V1" s="173" t="s">
        <v>382</v>
      </c>
    </row>
    <row r="2" spans="1:22" s="138" customFormat="1" hidden="1">
      <c r="A2" s="158"/>
      <c r="B2" s="168"/>
      <c r="C2" s="37" t="s">
        <v>347</v>
      </c>
      <c r="D2" s="37">
        <v>2023</v>
      </c>
      <c r="E2" s="37"/>
      <c r="F2" s="144">
        <v>0</v>
      </c>
      <c r="G2" s="133">
        <v>0</v>
      </c>
      <c r="H2" s="133">
        <v>0</v>
      </c>
      <c r="I2" s="133">
        <v>0</v>
      </c>
      <c r="J2" s="130">
        <v>0</v>
      </c>
      <c r="K2" s="124"/>
      <c r="L2" s="127"/>
      <c r="M2" s="127"/>
      <c r="N2" s="171"/>
      <c r="O2" s="171"/>
      <c r="P2" s="168" t="s">
        <v>29</v>
      </c>
      <c r="Q2" s="161">
        <v>131</v>
      </c>
      <c r="R2" s="161">
        <v>40</v>
      </c>
      <c r="S2" s="161">
        <v>4</v>
      </c>
      <c r="T2" s="161">
        <f>Q2*R2*S2*7-143</f>
        <v>146577</v>
      </c>
      <c r="U2" s="161">
        <v>4</v>
      </c>
      <c r="V2" s="168">
        <f>U2*200000/T2</f>
        <v>5.4578822052573051</v>
      </c>
    </row>
    <row r="3" spans="1:22" s="138" customFormat="1" hidden="1">
      <c r="A3" s="158"/>
      <c r="B3" s="168"/>
      <c r="C3" s="37" t="s">
        <v>35</v>
      </c>
      <c r="D3" s="37">
        <v>2023</v>
      </c>
      <c r="E3" s="37"/>
      <c r="F3" s="144">
        <v>0</v>
      </c>
      <c r="G3" s="133">
        <v>0</v>
      </c>
      <c r="H3" s="133">
        <v>0</v>
      </c>
      <c r="I3" s="133">
        <v>0</v>
      </c>
      <c r="J3" s="130">
        <v>0</v>
      </c>
      <c r="K3" s="124"/>
      <c r="L3" s="127"/>
      <c r="M3" s="127"/>
      <c r="N3" s="171"/>
      <c r="O3" s="171"/>
      <c r="P3" s="168" t="s">
        <v>383</v>
      </c>
      <c r="Q3" s="168">
        <v>131</v>
      </c>
      <c r="R3" s="168">
        <v>40</v>
      </c>
      <c r="S3" s="168">
        <v>4</v>
      </c>
      <c r="T3" s="161">
        <f>Q3*R3*S3*7-133.01</f>
        <v>146586.99</v>
      </c>
      <c r="U3" s="168">
        <v>1</v>
      </c>
      <c r="V3" s="168">
        <f>U3*200000/T3</f>
        <v>1.3643775617467826</v>
      </c>
    </row>
    <row r="4" spans="1:22" s="138" customFormat="1" hidden="1">
      <c r="A4" s="158"/>
      <c r="B4" s="168"/>
      <c r="C4" s="37" t="s">
        <v>28</v>
      </c>
      <c r="D4" s="37">
        <v>2023</v>
      </c>
      <c r="E4" s="37"/>
      <c r="F4" s="144">
        <v>0</v>
      </c>
      <c r="G4" s="133">
        <v>0</v>
      </c>
      <c r="H4" s="133">
        <v>0</v>
      </c>
      <c r="I4" s="133">
        <v>0</v>
      </c>
      <c r="J4" s="130">
        <v>0</v>
      </c>
      <c r="K4" s="124"/>
      <c r="L4" s="127"/>
      <c r="M4" s="127"/>
      <c r="N4" s="171"/>
      <c r="O4" s="171"/>
      <c r="P4" s="168" t="s">
        <v>384</v>
      </c>
      <c r="Q4" s="168">
        <v>131</v>
      </c>
      <c r="R4" s="168">
        <v>40</v>
      </c>
      <c r="S4" s="168">
        <v>4</v>
      </c>
      <c r="T4" s="161">
        <f>Q4*R4*S4*7-6.72</f>
        <v>146713.28</v>
      </c>
      <c r="U4" s="168">
        <v>0</v>
      </c>
      <c r="V4" s="168">
        <f>U4*200000/T4</f>
        <v>0</v>
      </c>
    </row>
    <row r="5" spans="1:22" s="138" customFormat="1" hidden="1">
      <c r="A5" s="158"/>
      <c r="B5" s="168"/>
      <c r="C5" s="37" t="s">
        <v>36</v>
      </c>
      <c r="D5" s="37">
        <v>2023</v>
      </c>
      <c r="E5" s="37"/>
      <c r="F5" s="144">
        <v>0</v>
      </c>
      <c r="G5" s="133">
        <v>0</v>
      </c>
      <c r="H5" s="133">
        <v>0</v>
      </c>
      <c r="I5" s="133">
        <v>0</v>
      </c>
      <c r="J5" s="130">
        <v>0</v>
      </c>
      <c r="K5" s="165"/>
      <c r="L5" s="127"/>
      <c r="M5" s="127"/>
      <c r="N5" s="171"/>
      <c r="O5" s="171"/>
      <c r="P5" s="168" t="s">
        <v>385</v>
      </c>
      <c r="Q5" s="168">
        <v>131</v>
      </c>
      <c r="R5" s="168">
        <v>40</v>
      </c>
      <c r="S5" s="168">
        <v>4</v>
      </c>
      <c r="T5" s="161">
        <f t="shared" ref="T5:T7" si="0">Q5*R5*S5*7-6.72</f>
        <v>146713.28</v>
      </c>
      <c r="U5" s="168">
        <v>0</v>
      </c>
      <c r="V5" s="168">
        <f t="shared" ref="V5:V19" si="1">U5*200000/T5</f>
        <v>0</v>
      </c>
    </row>
    <row r="6" spans="1:22" s="138" customFormat="1" ht="33.75">
      <c r="A6" s="163">
        <v>45246</v>
      </c>
      <c r="B6" s="169" t="s">
        <v>372</v>
      </c>
      <c r="C6" s="37" t="s">
        <v>37</v>
      </c>
      <c r="D6" s="37">
        <v>2023</v>
      </c>
      <c r="E6" s="37" t="s">
        <v>360</v>
      </c>
      <c r="F6" s="144" t="s">
        <v>354</v>
      </c>
      <c r="G6" s="133">
        <v>22.84</v>
      </c>
      <c r="H6" s="133" t="s">
        <v>352</v>
      </c>
      <c r="I6" s="133" t="s">
        <v>229</v>
      </c>
      <c r="J6" s="130">
        <v>1</v>
      </c>
      <c r="K6" s="165" t="s">
        <v>362</v>
      </c>
      <c r="L6" s="127"/>
      <c r="M6" s="127"/>
      <c r="N6" s="171"/>
      <c r="O6" s="171"/>
      <c r="P6" s="168" t="s">
        <v>386</v>
      </c>
      <c r="Q6" s="168">
        <v>131</v>
      </c>
      <c r="R6" s="168">
        <v>40</v>
      </c>
      <c r="S6" s="168">
        <v>4</v>
      </c>
      <c r="T6" s="161">
        <f t="shared" si="0"/>
        <v>146713.28</v>
      </c>
      <c r="U6" s="168">
        <v>0</v>
      </c>
      <c r="V6" s="168">
        <f t="shared" si="1"/>
        <v>0</v>
      </c>
    </row>
    <row r="7" spans="1:22" s="138" customFormat="1">
      <c r="A7" s="158"/>
      <c r="B7" s="168"/>
      <c r="C7" s="37" t="s">
        <v>38</v>
      </c>
      <c r="D7" s="37">
        <v>2023</v>
      </c>
      <c r="E7" s="37"/>
      <c r="F7" s="144">
        <v>0</v>
      </c>
      <c r="G7" s="133">
        <v>0</v>
      </c>
      <c r="H7" s="133">
        <v>0</v>
      </c>
      <c r="I7" s="133">
        <v>0</v>
      </c>
      <c r="J7" s="130">
        <v>0</v>
      </c>
      <c r="K7" s="165"/>
      <c r="L7" s="127"/>
      <c r="M7" s="127"/>
      <c r="N7" s="171"/>
      <c r="O7" s="171"/>
      <c r="P7" s="168" t="s">
        <v>387</v>
      </c>
      <c r="Q7" s="168">
        <v>131</v>
      </c>
      <c r="R7" s="168">
        <v>40</v>
      </c>
      <c r="S7" s="168">
        <v>4</v>
      </c>
      <c r="T7" s="161">
        <f t="shared" si="0"/>
        <v>146713.28</v>
      </c>
      <c r="U7" s="168">
        <v>0</v>
      </c>
      <c r="V7" s="168">
        <f t="shared" si="1"/>
        <v>0</v>
      </c>
    </row>
    <row r="8" spans="1:22">
      <c r="A8" s="128" t="s">
        <v>359</v>
      </c>
      <c r="B8" s="161" t="s">
        <v>373</v>
      </c>
      <c r="C8" s="37" t="s">
        <v>2</v>
      </c>
      <c r="D8" s="37">
        <v>2024</v>
      </c>
      <c r="E8" s="37" t="s">
        <v>355</v>
      </c>
      <c r="F8" s="143" t="s">
        <v>40</v>
      </c>
      <c r="G8" s="134">
        <v>2</v>
      </c>
      <c r="H8" s="133" t="s">
        <v>352</v>
      </c>
      <c r="I8" s="133" t="s">
        <v>227</v>
      </c>
      <c r="J8" s="130">
        <v>1</v>
      </c>
      <c r="K8" s="165" t="s">
        <v>363</v>
      </c>
      <c r="L8" s="133"/>
      <c r="M8" s="133"/>
      <c r="N8" s="172"/>
      <c r="O8" s="172"/>
      <c r="P8" s="161" t="s">
        <v>2</v>
      </c>
      <c r="Q8" s="168">
        <v>131</v>
      </c>
      <c r="R8" s="168">
        <v>40</v>
      </c>
      <c r="S8" s="168">
        <v>4</v>
      </c>
      <c r="T8" s="161">
        <f t="shared" ref="T8:T19" si="2">Q8*R8*S8*7-6.72</f>
        <v>146713.28</v>
      </c>
      <c r="U8" s="161">
        <v>0</v>
      </c>
      <c r="V8" s="168">
        <f t="shared" si="1"/>
        <v>0</v>
      </c>
    </row>
    <row r="9" spans="1:22">
      <c r="A9" s="161"/>
      <c r="C9" s="37" t="s">
        <v>2</v>
      </c>
      <c r="D9" s="37">
        <v>2024</v>
      </c>
      <c r="E9" s="37"/>
      <c r="F9" s="144">
        <v>0</v>
      </c>
      <c r="G9" s="133">
        <v>0</v>
      </c>
      <c r="H9" s="133" t="s">
        <v>348</v>
      </c>
      <c r="I9" s="133">
        <v>0</v>
      </c>
      <c r="J9" s="130">
        <v>0</v>
      </c>
      <c r="K9" s="165"/>
      <c r="L9" s="162"/>
      <c r="M9" s="162"/>
      <c r="N9" s="172"/>
      <c r="O9" s="172"/>
      <c r="P9" s="161" t="s">
        <v>31</v>
      </c>
      <c r="Q9" s="168">
        <v>131</v>
      </c>
      <c r="R9" s="168">
        <v>40</v>
      </c>
      <c r="S9" s="168">
        <v>4</v>
      </c>
      <c r="T9" s="161">
        <f t="shared" si="2"/>
        <v>146713.28</v>
      </c>
      <c r="U9" s="161">
        <v>0</v>
      </c>
      <c r="V9" s="168">
        <f t="shared" si="1"/>
        <v>0</v>
      </c>
    </row>
    <row r="10" spans="1:22" ht="22.5">
      <c r="A10" s="159">
        <v>45329</v>
      </c>
      <c r="B10" s="161" t="s">
        <v>374</v>
      </c>
      <c r="C10" s="37" t="s">
        <v>31</v>
      </c>
      <c r="D10" s="37">
        <v>2024</v>
      </c>
      <c r="E10" s="37" t="s">
        <v>356</v>
      </c>
      <c r="F10" s="143" t="s">
        <v>25</v>
      </c>
      <c r="G10" s="132">
        <v>80</v>
      </c>
      <c r="H10" s="133" t="s">
        <v>352</v>
      </c>
      <c r="I10" s="133" t="s">
        <v>229</v>
      </c>
      <c r="J10" s="130">
        <v>1</v>
      </c>
      <c r="K10" s="165" t="s">
        <v>370</v>
      </c>
      <c r="L10" s="133"/>
      <c r="M10" s="133"/>
      <c r="N10" s="172"/>
      <c r="O10" s="172"/>
      <c r="P10" s="161" t="s">
        <v>32</v>
      </c>
      <c r="Q10" s="168">
        <v>131</v>
      </c>
      <c r="R10" s="168">
        <v>40</v>
      </c>
      <c r="S10" s="168">
        <v>4</v>
      </c>
      <c r="T10" s="161">
        <f t="shared" si="2"/>
        <v>146713.28</v>
      </c>
      <c r="U10" s="161">
        <v>0</v>
      </c>
      <c r="V10" s="168">
        <f t="shared" si="1"/>
        <v>0</v>
      </c>
    </row>
    <row r="11" spans="1:22">
      <c r="A11" s="170"/>
      <c r="C11" s="37" t="s">
        <v>31</v>
      </c>
      <c r="D11" s="37">
        <v>2024</v>
      </c>
      <c r="E11" s="37"/>
      <c r="F11" s="144">
        <v>0</v>
      </c>
      <c r="G11" s="133">
        <v>0</v>
      </c>
      <c r="H11" s="133" t="s">
        <v>348</v>
      </c>
      <c r="I11" s="133">
        <v>0</v>
      </c>
      <c r="J11" s="130">
        <v>0</v>
      </c>
      <c r="K11" s="165"/>
      <c r="L11" s="162"/>
      <c r="M11" s="162"/>
      <c r="N11" s="172"/>
      <c r="O11" s="172"/>
      <c r="P11" s="161" t="s">
        <v>281</v>
      </c>
      <c r="Q11" s="168">
        <v>131</v>
      </c>
      <c r="R11" s="168">
        <v>40</v>
      </c>
      <c r="S11" s="168">
        <v>4</v>
      </c>
      <c r="T11" s="161">
        <f t="shared" si="2"/>
        <v>146713.28</v>
      </c>
      <c r="U11" s="161">
        <v>0</v>
      </c>
      <c r="V11" s="168">
        <f t="shared" si="1"/>
        <v>0</v>
      </c>
    </row>
    <row r="12" spans="1:22">
      <c r="C12" s="37" t="s">
        <v>32</v>
      </c>
      <c r="D12" s="37">
        <v>2024</v>
      </c>
      <c r="E12" s="37" t="s">
        <v>356</v>
      </c>
      <c r="F12" s="143" t="s">
        <v>25</v>
      </c>
      <c r="G12" s="131">
        <v>200</v>
      </c>
      <c r="H12" s="133" t="s">
        <v>352</v>
      </c>
      <c r="I12" s="133" t="s">
        <v>229</v>
      </c>
      <c r="J12" s="130">
        <v>0</v>
      </c>
      <c r="K12" s="165"/>
      <c r="L12" s="133"/>
      <c r="M12" s="133"/>
      <c r="N12" s="172"/>
      <c r="O12" s="172"/>
      <c r="P12" s="161" t="s">
        <v>33</v>
      </c>
      <c r="Q12" s="168">
        <v>131</v>
      </c>
      <c r="R12" s="168">
        <v>40</v>
      </c>
      <c r="S12" s="168">
        <v>4</v>
      </c>
      <c r="T12" s="161">
        <f t="shared" si="2"/>
        <v>146713.28</v>
      </c>
      <c r="U12" s="161">
        <v>0</v>
      </c>
      <c r="V12" s="168">
        <f t="shared" si="1"/>
        <v>0</v>
      </c>
    </row>
    <row r="13" spans="1:22">
      <c r="A13" s="161"/>
      <c r="C13" s="37" t="s">
        <v>32</v>
      </c>
      <c r="D13" s="37">
        <v>2024</v>
      </c>
      <c r="E13" s="177"/>
      <c r="F13" s="144">
        <v>0</v>
      </c>
      <c r="G13" s="133">
        <v>0</v>
      </c>
      <c r="H13" s="133" t="s">
        <v>348</v>
      </c>
      <c r="I13" s="133">
        <v>0</v>
      </c>
      <c r="J13" s="130">
        <v>0</v>
      </c>
      <c r="K13" s="165"/>
      <c r="L13" s="162"/>
      <c r="M13" s="162"/>
      <c r="N13" s="172"/>
      <c r="O13" s="172"/>
      <c r="P13" s="161" t="s">
        <v>346</v>
      </c>
      <c r="Q13" s="168">
        <v>131</v>
      </c>
      <c r="R13" s="168">
        <v>40</v>
      </c>
      <c r="S13" s="168">
        <v>4</v>
      </c>
      <c r="T13" s="161">
        <f t="shared" si="2"/>
        <v>146713.28</v>
      </c>
      <c r="U13" s="161">
        <v>0</v>
      </c>
      <c r="V13" s="168">
        <f t="shared" si="1"/>
        <v>0</v>
      </c>
    </row>
    <row r="14" spans="1:22" ht="22.5">
      <c r="A14" s="159">
        <v>45759</v>
      </c>
      <c r="B14" s="161" t="s">
        <v>373</v>
      </c>
      <c r="C14" s="37" t="s">
        <v>281</v>
      </c>
      <c r="D14" s="37">
        <v>2024</v>
      </c>
      <c r="E14" s="37" t="s">
        <v>357</v>
      </c>
      <c r="F14" s="143" t="s">
        <v>40</v>
      </c>
      <c r="G14" s="131">
        <v>40.22</v>
      </c>
      <c r="H14" s="133" t="s">
        <v>352</v>
      </c>
      <c r="I14" s="133" t="s">
        <v>277</v>
      </c>
      <c r="J14" s="130">
        <v>1</v>
      </c>
      <c r="K14" s="165" t="s">
        <v>364</v>
      </c>
      <c r="L14" s="133"/>
      <c r="M14" s="133"/>
      <c r="N14" s="172"/>
      <c r="O14" s="172"/>
      <c r="P14" s="161" t="s">
        <v>347</v>
      </c>
      <c r="Q14" s="168">
        <v>131</v>
      </c>
      <c r="R14" s="168">
        <v>40</v>
      </c>
      <c r="S14" s="168">
        <v>4</v>
      </c>
      <c r="T14" s="161">
        <f t="shared" si="2"/>
        <v>146713.28</v>
      </c>
      <c r="U14" s="161">
        <v>1</v>
      </c>
      <c r="V14" s="168">
        <f t="shared" si="1"/>
        <v>1.3632031129015725</v>
      </c>
    </row>
    <row r="15" spans="1:22" ht="22.5">
      <c r="A15" s="159">
        <v>45426</v>
      </c>
      <c r="B15" s="170" t="s">
        <v>375</v>
      </c>
      <c r="C15" s="37" t="s">
        <v>281</v>
      </c>
      <c r="D15" s="37">
        <v>2024</v>
      </c>
      <c r="E15" s="37" t="s">
        <v>358</v>
      </c>
      <c r="F15" s="143" t="s">
        <v>40</v>
      </c>
      <c r="G15" s="131">
        <v>0</v>
      </c>
      <c r="H15" s="133" t="s">
        <v>352</v>
      </c>
      <c r="I15" s="133" t="s">
        <v>282</v>
      </c>
      <c r="J15" s="130">
        <v>1</v>
      </c>
      <c r="K15" s="165" t="s">
        <v>365</v>
      </c>
      <c r="L15" s="133"/>
      <c r="M15" s="133"/>
      <c r="N15" s="159">
        <v>45426</v>
      </c>
      <c r="O15" s="172">
        <f>NETWORKDAYS(N15,N16)</f>
        <v>59</v>
      </c>
      <c r="P15" s="161" t="s">
        <v>35</v>
      </c>
      <c r="Q15" s="168">
        <v>131</v>
      </c>
      <c r="R15" s="168">
        <v>40</v>
      </c>
      <c r="S15" s="168">
        <v>4</v>
      </c>
      <c r="T15" s="161">
        <f t="shared" si="2"/>
        <v>146713.28</v>
      </c>
      <c r="U15" s="161">
        <v>0</v>
      </c>
      <c r="V15" s="168">
        <f t="shared" si="1"/>
        <v>0</v>
      </c>
    </row>
    <row r="16" spans="1:22">
      <c r="C16" s="37" t="s">
        <v>281</v>
      </c>
      <c r="D16" s="37">
        <v>2024</v>
      </c>
      <c r="E16" s="37" t="s">
        <v>356</v>
      </c>
      <c r="F16" s="143" t="s">
        <v>25</v>
      </c>
      <c r="G16" s="132">
        <v>88.5</v>
      </c>
      <c r="H16" s="133" t="s">
        <v>352</v>
      </c>
      <c r="I16" s="133" t="s">
        <v>229</v>
      </c>
      <c r="J16" s="130">
        <v>0</v>
      </c>
      <c r="K16" s="165"/>
      <c r="L16" s="133"/>
      <c r="M16" s="133"/>
      <c r="N16" s="159">
        <v>45506</v>
      </c>
      <c r="O16" s="172"/>
      <c r="P16" s="161" t="s">
        <v>28</v>
      </c>
      <c r="Q16" s="168">
        <v>131</v>
      </c>
      <c r="R16" s="168">
        <v>40</v>
      </c>
      <c r="S16" s="168">
        <v>4</v>
      </c>
      <c r="T16" s="161">
        <f t="shared" si="2"/>
        <v>146713.28</v>
      </c>
      <c r="U16" s="161">
        <v>0</v>
      </c>
      <c r="V16" s="168">
        <f t="shared" si="1"/>
        <v>0</v>
      </c>
    </row>
    <row r="17" spans="1:22">
      <c r="A17" s="161"/>
      <c r="C17" s="37" t="s">
        <v>281</v>
      </c>
      <c r="D17" s="37">
        <v>2024</v>
      </c>
      <c r="E17" s="177"/>
      <c r="F17" s="144">
        <v>0</v>
      </c>
      <c r="G17" s="133">
        <v>0</v>
      </c>
      <c r="H17" s="133" t="s">
        <v>348</v>
      </c>
      <c r="I17" s="133">
        <v>0</v>
      </c>
      <c r="J17" s="130">
        <v>0</v>
      </c>
      <c r="K17" s="165"/>
      <c r="L17" s="162"/>
      <c r="M17" s="162"/>
      <c r="N17" s="172"/>
      <c r="O17" s="172"/>
      <c r="P17" s="161" t="s">
        <v>36</v>
      </c>
      <c r="Q17" s="168">
        <v>131</v>
      </c>
      <c r="R17" s="168">
        <v>40</v>
      </c>
      <c r="S17" s="168">
        <v>4</v>
      </c>
      <c r="T17" s="161">
        <f t="shared" si="2"/>
        <v>146713.28</v>
      </c>
      <c r="U17" s="161">
        <v>1</v>
      </c>
      <c r="V17" s="168">
        <f t="shared" si="1"/>
        <v>1.3632031129015725</v>
      </c>
    </row>
    <row r="18" spans="1:22">
      <c r="C18" s="37" t="s">
        <v>33</v>
      </c>
      <c r="D18" s="37">
        <v>2024</v>
      </c>
      <c r="E18" s="37" t="s">
        <v>358</v>
      </c>
      <c r="F18" s="143" t="s">
        <v>40</v>
      </c>
      <c r="G18" s="131">
        <v>29.63</v>
      </c>
      <c r="H18" s="133" t="s">
        <v>352</v>
      </c>
      <c r="I18" s="133" t="s">
        <v>282</v>
      </c>
      <c r="J18" s="130">
        <v>0</v>
      </c>
      <c r="K18" s="165"/>
      <c r="L18" s="133"/>
      <c r="M18" s="133"/>
      <c r="N18" s="172"/>
      <c r="O18" s="172"/>
      <c r="P18" s="161" t="s">
        <v>37</v>
      </c>
      <c r="Q18" s="168">
        <v>131</v>
      </c>
      <c r="R18" s="168">
        <v>40</v>
      </c>
      <c r="S18" s="168">
        <v>4</v>
      </c>
      <c r="T18" s="161">
        <f t="shared" si="2"/>
        <v>146713.28</v>
      </c>
      <c r="U18" s="161">
        <v>0</v>
      </c>
      <c r="V18" s="168">
        <f t="shared" si="1"/>
        <v>0</v>
      </c>
    </row>
    <row r="19" spans="1:22">
      <c r="A19" s="159"/>
      <c r="B19" s="170"/>
      <c r="C19" s="37" t="s">
        <v>33</v>
      </c>
      <c r="D19" s="37">
        <v>2024</v>
      </c>
      <c r="E19" s="37" t="s">
        <v>356</v>
      </c>
      <c r="F19" s="143" t="s">
        <v>25</v>
      </c>
      <c r="G19" s="131">
        <v>9.01</v>
      </c>
      <c r="H19" s="133" t="s">
        <v>352</v>
      </c>
      <c r="I19" s="133" t="s">
        <v>229</v>
      </c>
      <c r="J19" s="130">
        <v>0</v>
      </c>
      <c r="K19" s="165"/>
      <c r="L19" s="133"/>
      <c r="M19" s="133"/>
      <c r="N19" s="172"/>
      <c r="O19" s="172"/>
      <c r="P19" s="161" t="s">
        <v>38</v>
      </c>
      <c r="Q19" s="168">
        <v>131</v>
      </c>
      <c r="R19" s="168">
        <v>40</v>
      </c>
      <c r="S19" s="168">
        <v>4</v>
      </c>
      <c r="T19" s="161">
        <f t="shared" si="2"/>
        <v>146713.28</v>
      </c>
      <c r="U19" s="161">
        <v>0</v>
      </c>
      <c r="V19" s="168">
        <f t="shared" si="1"/>
        <v>0</v>
      </c>
    </row>
    <row r="20" spans="1:22">
      <c r="A20" s="170"/>
      <c r="B20" s="170"/>
      <c r="C20" s="37" t="s">
        <v>33</v>
      </c>
      <c r="D20" s="37">
        <v>2024</v>
      </c>
      <c r="E20" s="177"/>
      <c r="F20" s="144">
        <v>0</v>
      </c>
      <c r="G20" s="133">
        <v>0</v>
      </c>
      <c r="H20" s="133" t="s">
        <v>348</v>
      </c>
      <c r="I20" s="133">
        <v>0</v>
      </c>
      <c r="J20" s="130">
        <v>0</v>
      </c>
      <c r="K20" s="165"/>
      <c r="L20" s="162"/>
      <c r="M20" s="162"/>
      <c r="N20" s="172"/>
      <c r="O20" s="172"/>
    </row>
    <row r="21" spans="1:22">
      <c r="B21" s="161" t="s">
        <v>376</v>
      </c>
      <c r="C21" s="37" t="s">
        <v>346</v>
      </c>
      <c r="D21" s="37">
        <v>2024</v>
      </c>
      <c r="E21" s="37"/>
      <c r="F21" s="144">
        <v>0</v>
      </c>
      <c r="G21" s="133">
        <v>0</v>
      </c>
      <c r="H21" s="133" t="s">
        <v>352</v>
      </c>
      <c r="I21" s="133">
        <v>0</v>
      </c>
      <c r="J21" s="130">
        <v>0</v>
      </c>
      <c r="K21" s="165"/>
      <c r="L21" s="133"/>
      <c r="M21" s="133"/>
      <c r="N21" s="172"/>
      <c r="O21" s="172"/>
    </row>
    <row r="22" spans="1:22">
      <c r="A22" s="161"/>
      <c r="B22" s="169" t="s">
        <v>372</v>
      </c>
      <c r="C22" s="37" t="s">
        <v>346</v>
      </c>
      <c r="D22" s="37">
        <v>2024</v>
      </c>
      <c r="E22" s="37"/>
      <c r="F22" s="144">
        <v>0</v>
      </c>
      <c r="G22" s="133">
        <v>0</v>
      </c>
      <c r="H22" s="133" t="s">
        <v>348</v>
      </c>
      <c r="I22" s="133">
        <v>0</v>
      </c>
      <c r="J22" s="130">
        <v>0</v>
      </c>
      <c r="K22" s="165"/>
      <c r="L22" s="162"/>
      <c r="M22" s="162"/>
      <c r="N22" s="172"/>
      <c r="O22" s="172"/>
    </row>
    <row r="23" spans="1:22" ht="22.5">
      <c r="A23" s="159">
        <v>45485</v>
      </c>
      <c r="B23" s="161" t="s">
        <v>373</v>
      </c>
      <c r="C23" s="156" t="s">
        <v>347</v>
      </c>
      <c r="D23" s="156">
        <v>2024</v>
      </c>
      <c r="E23" s="156" t="s">
        <v>351</v>
      </c>
      <c r="F23" s="143" t="s">
        <v>40</v>
      </c>
      <c r="G23" s="155">
        <v>0</v>
      </c>
      <c r="H23" s="133" t="s">
        <v>348</v>
      </c>
      <c r="I23" s="133" t="s">
        <v>229</v>
      </c>
      <c r="J23" s="130">
        <v>1</v>
      </c>
      <c r="K23" s="165" t="s">
        <v>368</v>
      </c>
    </row>
    <row r="24" spans="1:22" ht="22.5">
      <c r="A24" s="159">
        <v>45496</v>
      </c>
      <c r="B24" s="170" t="s">
        <v>375</v>
      </c>
      <c r="C24" s="156" t="s">
        <v>347</v>
      </c>
      <c r="D24" s="156">
        <v>2024</v>
      </c>
      <c r="E24" s="156" t="s">
        <v>366</v>
      </c>
      <c r="F24" s="157" t="s">
        <v>394</v>
      </c>
      <c r="G24" s="155">
        <v>0</v>
      </c>
      <c r="H24" s="133" t="s">
        <v>348</v>
      </c>
      <c r="I24" s="155" t="s">
        <v>229</v>
      </c>
      <c r="J24" s="130">
        <v>1</v>
      </c>
      <c r="K24" s="165" t="s">
        <v>367</v>
      </c>
    </row>
    <row r="25" spans="1:22">
      <c r="C25" s="156" t="s">
        <v>347</v>
      </c>
      <c r="D25" s="156">
        <v>2024</v>
      </c>
      <c r="E25" s="37" t="s">
        <v>356</v>
      </c>
      <c r="F25" s="143" t="s">
        <v>25</v>
      </c>
      <c r="G25" s="167">
        <v>143</v>
      </c>
      <c r="H25" s="133" t="s">
        <v>352</v>
      </c>
      <c r="I25" s="166" t="s">
        <v>229</v>
      </c>
      <c r="J25" s="130">
        <v>0</v>
      </c>
      <c r="K25" s="165"/>
    </row>
    <row r="26" spans="1:22" ht="38.25">
      <c r="A26" s="159">
        <v>45506</v>
      </c>
      <c r="B26" s="161" t="s">
        <v>373</v>
      </c>
      <c r="C26" s="181" t="s">
        <v>35</v>
      </c>
      <c r="D26" s="156">
        <v>2024</v>
      </c>
      <c r="E26" s="128" t="s">
        <v>388</v>
      </c>
      <c r="F26" s="157" t="s">
        <v>40</v>
      </c>
      <c r="G26" s="155">
        <v>2.09</v>
      </c>
      <c r="H26" s="133" t="s">
        <v>352</v>
      </c>
      <c r="I26" s="155" t="s">
        <v>229</v>
      </c>
      <c r="J26" s="130">
        <v>1</v>
      </c>
      <c r="K26" s="175" t="s">
        <v>389</v>
      </c>
    </row>
    <row r="27" spans="1:22" ht="38.25">
      <c r="A27" s="159">
        <v>45512</v>
      </c>
      <c r="B27" s="161" t="s">
        <v>372</v>
      </c>
      <c r="C27" s="181" t="s">
        <v>35</v>
      </c>
      <c r="D27" s="156">
        <v>2024</v>
      </c>
      <c r="E27" s="128" t="s">
        <v>391</v>
      </c>
      <c r="F27" s="157" t="s">
        <v>40</v>
      </c>
      <c r="G27" s="155">
        <v>0</v>
      </c>
      <c r="H27" s="133" t="s">
        <v>348</v>
      </c>
      <c r="I27" s="155" t="s">
        <v>229</v>
      </c>
      <c r="J27" s="130">
        <v>1</v>
      </c>
      <c r="K27" s="175" t="s">
        <v>392</v>
      </c>
    </row>
    <row r="28" spans="1:22">
      <c r="C28" s="181" t="s">
        <v>35</v>
      </c>
      <c r="D28" s="156">
        <v>2024</v>
      </c>
      <c r="E28" s="37" t="s">
        <v>356</v>
      </c>
      <c r="F28" s="143" t="s">
        <v>25</v>
      </c>
      <c r="G28" s="167">
        <v>132.1</v>
      </c>
      <c r="H28" s="133" t="s">
        <v>352</v>
      </c>
      <c r="I28" s="174" t="s">
        <v>229</v>
      </c>
      <c r="J28" s="130">
        <v>0</v>
      </c>
    </row>
    <row r="29" spans="1:22">
      <c r="C29" s="181" t="s">
        <v>28</v>
      </c>
      <c r="D29" s="156">
        <v>2024</v>
      </c>
      <c r="E29" s="37" t="s">
        <v>356</v>
      </c>
      <c r="F29" s="143" t="s">
        <v>25</v>
      </c>
      <c r="G29" s="155">
        <v>6.27</v>
      </c>
      <c r="H29" s="133" t="s">
        <v>352</v>
      </c>
      <c r="I29" s="178" t="s">
        <v>229</v>
      </c>
      <c r="J29" s="130">
        <v>0</v>
      </c>
    </row>
    <row r="30" spans="1:22">
      <c r="C30" s="181" t="s">
        <v>28</v>
      </c>
      <c r="D30" s="37">
        <v>2024</v>
      </c>
      <c r="E30" s="37"/>
      <c r="F30" s="144">
        <v>0</v>
      </c>
      <c r="G30" s="133">
        <v>0</v>
      </c>
      <c r="H30" s="133" t="s">
        <v>348</v>
      </c>
      <c r="I30" s="133">
        <v>0</v>
      </c>
      <c r="J30" s="130">
        <v>0</v>
      </c>
    </row>
    <row r="31" spans="1:22">
      <c r="C31" s="181" t="s">
        <v>36</v>
      </c>
      <c r="D31" s="37">
        <v>2024</v>
      </c>
      <c r="E31" s="37"/>
      <c r="F31" s="144">
        <v>0</v>
      </c>
      <c r="G31" s="133">
        <v>0</v>
      </c>
      <c r="H31" s="133" t="s">
        <v>348</v>
      </c>
      <c r="I31" s="133">
        <v>0</v>
      </c>
      <c r="J31" s="130">
        <v>0</v>
      </c>
    </row>
    <row r="32" spans="1:22">
      <c r="C32" s="181" t="s">
        <v>36</v>
      </c>
      <c r="D32" s="156">
        <v>2024</v>
      </c>
      <c r="E32" s="37" t="s">
        <v>356</v>
      </c>
      <c r="F32" s="143" t="s">
        <v>25</v>
      </c>
      <c r="G32" s="179">
        <v>7.29</v>
      </c>
      <c r="H32" s="133" t="s">
        <v>352</v>
      </c>
      <c r="I32" s="179" t="s">
        <v>229</v>
      </c>
      <c r="J32" s="130">
        <v>0</v>
      </c>
    </row>
    <row r="33" spans="1:13">
      <c r="A33" s="159">
        <v>38292</v>
      </c>
      <c r="C33" s="181" t="s">
        <v>37</v>
      </c>
      <c r="D33" s="37">
        <v>2024</v>
      </c>
      <c r="E33" s="37" t="s">
        <v>356</v>
      </c>
      <c r="F33" s="143" t="s">
        <v>25</v>
      </c>
      <c r="G33" s="133">
        <v>0</v>
      </c>
      <c r="H33" s="133" t="s">
        <v>348</v>
      </c>
      <c r="I33" s="133">
        <v>0</v>
      </c>
      <c r="J33" s="130">
        <v>0</v>
      </c>
    </row>
    <row r="34" spans="1:13">
      <c r="C34" s="181" t="s">
        <v>37</v>
      </c>
      <c r="D34" s="37">
        <v>2024</v>
      </c>
      <c r="E34" s="37" t="s">
        <v>356</v>
      </c>
      <c r="F34" s="143" t="s">
        <v>25</v>
      </c>
      <c r="G34" s="180">
        <v>3</v>
      </c>
      <c r="H34" s="133" t="s">
        <v>352</v>
      </c>
      <c r="I34" s="180" t="s">
        <v>229</v>
      </c>
      <c r="J34" s="130">
        <v>0</v>
      </c>
    </row>
    <row r="35" spans="1:13">
      <c r="A35" s="159">
        <v>45627</v>
      </c>
      <c r="C35" s="181" t="s">
        <v>38</v>
      </c>
      <c r="D35" s="37">
        <v>2024</v>
      </c>
      <c r="E35" s="37" t="s">
        <v>356</v>
      </c>
      <c r="F35" s="143" t="s">
        <v>25</v>
      </c>
      <c r="G35" s="133">
        <v>0</v>
      </c>
      <c r="H35" s="133" t="s">
        <v>348</v>
      </c>
      <c r="I35" s="133">
        <v>0</v>
      </c>
      <c r="J35" s="130">
        <v>0</v>
      </c>
    </row>
    <row r="36" spans="1:13">
      <c r="C36" s="181" t="s">
        <v>38</v>
      </c>
      <c r="D36" s="37">
        <v>2024</v>
      </c>
      <c r="E36" s="37" t="s">
        <v>356</v>
      </c>
      <c r="F36" s="143" t="s">
        <v>25</v>
      </c>
      <c r="G36" s="133">
        <v>0</v>
      </c>
      <c r="H36" s="133" t="s">
        <v>352</v>
      </c>
      <c r="I36" s="133">
        <v>0</v>
      </c>
      <c r="J36" s="130">
        <v>0</v>
      </c>
    </row>
    <row r="37" spans="1:13">
      <c r="A37" s="159">
        <v>45658</v>
      </c>
      <c r="C37" s="181" t="s">
        <v>2</v>
      </c>
      <c r="D37" s="37">
        <v>2025</v>
      </c>
      <c r="E37" s="37" t="s">
        <v>356</v>
      </c>
      <c r="F37" s="143" t="s">
        <v>25</v>
      </c>
      <c r="G37" s="133">
        <v>0</v>
      </c>
      <c r="H37" s="133" t="s">
        <v>348</v>
      </c>
      <c r="I37" s="133">
        <v>0</v>
      </c>
      <c r="J37" s="130">
        <v>0</v>
      </c>
    </row>
    <row r="38" spans="1:13">
      <c r="C38" s="181" t="s">
        <v>2</v>
      </c>
      <c r="D38" s="37">
        <v>2025</v>
      </c>
      <c r="E38" s="37" t="s">
        <v>356</v>
      </c>
      <c r="F38" s="143" t="s">
        <v>25</v>
      </c>
      <c r="G38" s="133">
        <v>0</v>
      </c>
      <c r="H38" s="133" t="s">
        <v>352</v>
      </c>
      <c r="I38" s="133">
        <v>0</v>
      </c>
      <c r="J38" s="130">
        <v>0</v>
      </c>
    </row>
    <row r="39" spans="1:13">
      <c r="A39" s="159">
        <v>45658</v>
      </c>
      <c r="C39" s="181" t="s">
        <v>31</v>
      </c>
      <c r="D39" s="37">
        <v>2025</v>
      </c>
      <c r="E39" s="37" t="s">
        <v>356</v>
      </c>
      <c r="F39" s="143" t="s">
        <v>25</v>
      </c>
      <c r="G39" s="133">
        <v>0</v>
      </c>
      <c r="H39" s="133" t="s">
        <v>348</v>
      </c>
      <c r="I39" s="133">
        <v>0</v>
      </c>
      <c r="J39" s="130">
        <v>0</v>
      </c>
    </row>
    <row r="40" spans="1:13">
      <c r="C40" s="181" t="s">
        <v>31</v>
      </c>
      <c r="D40" s="37">
        <v>2025</v>
      </c>
      <c r="E40" s="37" t="s">
        <v>356</v>
      </c>
      <c r="F40" s="143" t="s">
        <v>25</v>
      </c>
      <c r="G40" s="133">
        <v>0</v>
      </c>
      <c r="H40" s="133" t="s">
        <v>352</v>
      </c>
      <c r="I40" s="133">
        <v>0</v>
      </c>
      <c r="J40" s="130">
        <v>0</v>
      </c>
    </row>
    <row r="41" spans="1:13">
      <c r="A41" s="159">
        <v>45717</v>
      </c>
      <c r="C41" s="181" t="s">
        <v>32</v>
      </c>
      <c r="D41" s="37">
        <v>2025</v>
      </c>
      <c r="E41" s="37" t="s">
        <v>356</v>
      </c>
      <c r="F41" s="143" t="s">
        <v>25</v>
      </c>
      <c r="G41" s="133">
        <v>0</v>
      </c>
      <c r="H41" s="133" t="s">
        <v>348</v>
      </c>
      <c r="I41" s="133">
        <v>0</v>
      </c>
      <c r="J41" s="130">
        <v>0</v>
      </c>
    </row>
    <row r="42" spans="1:13">
      <c r="C42" s="181" t="s">
        <v>32</v>
      </c>
      <c r="D42" s="37">
        <v>2025</v>
      </c>
      <c r="E42" s="37" t="s">
        <v>356</v>
      </c>
      <c r="F42" s="143" t="s">
        <v>25</v>
      </c>
      <c r="G42" s="133">
        <v>0</v>
      </c>
      <c r="H42" s="133" t="s">
        <v>352</v>
      </c>
      <c r="I42" s="133">
        <v>0</v>
      </c>
      <c r="J42" s="130">
        <v>0</v>
      </c>
    </row>
    <row r="43" spans="1:13">
      <c r="A43" s="159">
        <v>45748</v>
      </c>
      <c r="C43" s="181" t="s">
        <v>281</v>
      </c>
      <c r="D43" s="37">
        <v>2025</v>
      </c>
      <c r="E43" s="37" t="s">
        <v>356</v>
      </c>
      <c r="F43" s="143" t="s">
        <v>25</v>
      </c>
      <c r="G43" s="133">
        <v>0</v>
      </c>
      <c r="H43" s="133" t="s">
        <v>348</v>
      </c>
      <c r="I43" s="133">
        <v>0</v>
      </c>
      <c r="J43" s="130">
        <v>0</v>
      </c>
    </row>
    <row r="44" spans="1:13">
      <c r="C44" s="181" t="s">
        <v>281</v>
      </c>
      <c r="D44" s="37">
        <v>2025</v>
      </c>
      <c r="E44" s="37" t="s">
        <v>356</v>
      </c>
      <c r="F44" s="143" t="s">
        <v>25</v>
      </c>
      <c r="G44" s="133">
        <v>1.92</v>
      </c>
      <c r="H44" s="133" t="s">
        <v>352</v>
      </c>
      <c r="I44" s="133">
        <v>0</v>
      </c>
      <c r="J44" s="130">
        <v>0</v>
      </c>
    </row>
    <row r="45" spans="1:13">
      <c r="A45" s="159">
        <v>45778</v>
      </c>
      <c r="C45" s="181" t="s">
        <v>33</v>
      </c>
      <c r="D45" s="37">
        <v>2025</v>
      </c>
      <c r="E45" s="37" t="s">
        <v>356</v>
      </c>
      <c r="F45" s="143" t="s">
        <v>25</v>
      </c>
      <c r="G45" s="155">
        <v>9.77</v>
      </c>
      <c r="H45" s="133" t="s">
        <v>348</v>
      </c>
      <c r="I45" s="133">
        <v>0</v>
      </c>
      <c r="J45" s="130">
        <v>0</v>
      </c>
    </row>
    <row r="46" spans="1:13">
      <c r="A46" s="161"/>
      <c r="C46" s="181" t="s">
        <v>33</v>
      </c>
      <c r="D46" s="37">
        <v>2025</v>
      </c>
      <c r="E46" s="37" t="s">
        <v>356</v>
      </c>
      <c r="F46" s="143" t="s">
        <v>25</v>
      </c>
      <c r="G46" s="133">
        <v>0</v>
      </c>
      <c r="H46" s="133" t="s">
        <v>352</v>
      </c>
      <c r="I46" s="133">
        <v>0</v>
      </c>
      <c r="J46" s="130">
        <v>0</v>
      </c>
      <c r="L46" s="161"/>
      <c r="M46" s="161"/>
    </row>
    <row r="47" spans="1:13">
      <c r="A47" s="159">
        <v>45821</v>
      </c>
      <c r="B47" s="161" t="s">
        <v>373</v>
      </c>
      <c r="C47" s="181" t="s">
        <v>346</v>
      </c>
      <c r="D47" s="37">
        <v>2025</v>
      </c>
      <c r="E47" s="128" t="s">
        <v>398</v>
      </c>
      <c r="F47" s="157" t="s">
        <v>267</v>
      </c>
      <c r="G47" s="155">
        <v>3.22</v>
      </c>
      <c r="H47" s="133" t="s">
        <v>352</v>
      </c>
      <c r="I47" s="133" t="s">
        <v>282</v>
      </c>
      <c r="J47" s="130">
        <v>1</v>
      </c>
      <c r="K47" s="161" t="s">
        <v>397</v>
      </c>
    </row>
    <row r="48" spans="1:13">
      <c r="A48" s="161"/>
      <c r="C48" s="181" t="s">
        <v>346</v>
      </c>
      <c r="D48" s="37">
        <v>2025</v>
      </c>
      <c r="E48" s="37" t="s">
        <v>356</v>
      </c>
      <c r="F48" s="143" t="s">
        <v>25</v>
      </c>
      <c r="G48" s="182">
        <v>9.5399999999999991</v>
      </c>
      <c r="H48" s="133" t="s">
        <v>352</v>
      </c>
      <c r="I48" s="162"/>
      <c r="J48" s="130">
        <v>0</v>
      </c>
      <c r="L48" s="161"/>
      <c r="M48" s="161"/>
    </row>
    <row r="49" spans="1:13">
      <c r="A49" s="159">
        <v>45839</v>
      </c>
      <c r="C49" s="181" t="s">
        <v>347</v>
      </c>
      <c r="D49" s="37">
        <v>2025</v>
      </c>
      <c r="E49" s="128" t="s">
        <v>398</v>
      </c>
      <c r="F49" s="157" t="s">
        <v>267</v>
      </c>
      <c r="G49" s="155">
        <v>24.76</v>
      </c>
      <c r="H49" s="133" t="s">
        <v>352</v>
      </c>
      <c r="I49" s="133">
        <v>0</v>
      </c>
      <c r="J49" s="130">
        <v>0</v>
      </c>
    </row>
    <row r="50" spans="1:13">
      <c r="A50" s="161"/>
      <c r="C50" s="181" t="s">
        <v>347</v>
      </c>
      <c r="D50" s="37">
        <v>2025</v>
      </c>
      <c r="E50" s="37" t="s">
        <v>356</v>
      </c>
      <c r="F50" s="143" t="s">
        <v>25</v>
      </c>
      <c r="G50" s="133">
        <v>0</v>
      </c>
      <c r="H50" s="133" t="s">
        <v>348</v>
      </c>
      <c r="I50" s="133">
        <v>0</v>
      </c>
      <c r="J50" s="130">
        <v>0</v>
      </c>
      <c r="L50" s="161"/>
      <c r="M50" s="161"/>
    </row>
    <row r="51" spans="1:13">
      <c r="A51" s="159">
        <v>45870</v>
      </c>
      <c r="C51" s="181" t="s">
        <v>35</v>
      </c>
      <c r="D51" s="37">
        <v>2025</v>
      </c>
      <c r="E51" s="37" t="s">
        <v>356</v>
      </c>
      <c r="F51" s="143" t="s">
        <v>25</v>
      </c>
      <c r="G51" s="155">
        <v>23</v>
      </c>
      <c r="H51" s="133" t="s">
        <v>352</v>
      </c>
      <c r="I51" s="133">
        <v>0</v>
      </c>
      <c r="J51" s="130">
        <v>0</v>
      </c>
    </row>
    <row r="52" spans="1:13">
      <c r="A52" s="161"/>
      <c r="C52" s="181" t="s">
        <v>35</v>
      </c>
      <c r="D52" s="37">
        <v>2025</v>
      </c>
      <c r="E52" s="37" t="s">
        <v>356</v>
      </c>
      <c r="F52" s="143" t="s">
        <v>25</v>
      </c>
      <c r="G52" s="133">
        <v>0</v>
      </c>
      <c r="H52" s="133" t="s">
        <v>348</v>
      </c>
      <c r="I52" s="133">
        <v>0</v>
      </c>
      <c r="J52" s="130">
        <v>0</v>
      </c>
      <c r="L52" s="161"/>
      <c r="M52" s="161"/>
    </row>
    <row r="53" spans="1:13">
      <c r="A53" s="159">
        <v>45901</v>
      </c>
      <c r="C53" s="181" t="s">
        <v>28</v>
      </c>
      <c r="D53" s="37">
        <v>2025</v>
      </c>
      <c r="G53" s="155">
        <v>5.44</v>
      </c>
      <c r="H53" s="133" t="s">
        <v>352</v>
      </c>
      <c r="I53" s="133">
        <v>0</v>
      </c>
      <c r="J53" s="130">
        <v>0</v>
      </c>
    </row>
    <row r="54" spans="1:13">
      <c r="A54" s="161"/>
      <c r="C54" s="181" t="s">
        <v>28</v>
      </c>
      <c r="D54" s="37">
        <v>2025</v>
      </c>
      <c r="E54" s="37" t="s">
        <v>356</v>
      </c>
      <c r="F54" s="143" t="s">
        <v>25</v>
      </c>
      <c r="G54" s="133">
        <v>0</v>
      </c>
      <c r="H54" s="133" t="s">
        <v>348</v>
      </c>
      <c r="I54" s="133">
        <v>0</v>
      </c>
      <c r="J54" s="130">
        <v>0</v>
      </c>
      <c r="L54" s="161"/>
      <c r="M54" s="161"/>
    </row>
    <row r="55" spans="1:13" ht="38.25">
      <c r="A55" s="159">
        <v>45961</v>
      </c>
      <c r="B55" s="161" t="s">
        <v>373</v>
      </c>
      <c r="C55" s="181" t="s">
        <v>36</v>
      </c>
      <c r="D55" s="37">
        <v>2025</v>
      </c>
      <c r="E55" s="128" t="s">
        <v>395</v>
      </c>
      <c r="F55" s="143" t="s">
        <v>40</v>
      </c>
      <c r="G55" s="155">
        <v>14.08</v>
      </c>
      <c r="H55" s="133" t="s">
        <v>352</v>
      </c>
      <c r="I55" s="181" t="s">
        <v>229</v>
      </c>
      <c r="J55" s="130">
        <v>1</v>
      </c>
      <c r="K55" s="175" t="s">
        <v>396</v>
      </c>
    </row>
    <row r="56" spans="1:13">
      <c r="C56" s="181" t="s">
        <v>36</v>
      </c>
      <c r="D56" s="37">
        <v>2025</v>
      </c>
      <c r="E56" s="37" t="s">
        <v>356</v>
      </c>
      <c r="F56" s="143" t="s">
        <v>25</v>
      </c>
      <c r="G56" s="133">
        <v>0</v>
      </c>
      <c r="H56" s="133" t="s">
        <v>348</v>
      </c>
      <c r="I56" s="133">
        <v>0</v>
      </c>
      <c r="J56" s="130">
        <v>0</v>
      </c>
    </row>
    <row r="57" spans="1:13">
      <c r="C57" s="181" t="s">
        <v>37</v>
      </c>
      <c r="D57" s="37">
        <v>2025</v>
      </c>
    </row>
    <row r="58" spans="1:13">
      <c r="C58" s="181" t="s">
        <v>38</v>
      </c>
      <c r="D58" s="37">
        <v>2025</v>
      </c>
    </row>
  </sheetData>
  <autoFilter ref="A1:M58" xr:uid="{AAE703BB-2385-4E85-ACE0-07E6D3F3BEB5}"/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0D74101-8DF8-4553-81FF-83C0F779F705}">
          <x14:formula1>
            <xm:f>DATATABLE!$A$2:$A$10</xm:f>
          </x14:formula1>
          <xm:sqref>H18 H15</xm:sqref>
        </x14:dataValidation>
        <x14:dataValidation type="list" allowBlank="1" showInputMessage="1" showErrorMessage="1" xr:uid="{800295C7-FDCC-45AB-91B9-C5A6D2C16EFD}">
          <x14:formula1>
            <xm:f>DATATABLE!$A$2:$A$26</xm:f>
          </x14:formula1>
          <xm:sqref>H22:H24 H9 H11 H13 H17 H20 H30:H31 H33 H35 H37 H39 H41 H43 H45 H52 H50 H54 H56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9EC5-026A-4E39-B290-F68405C526E7}">
  <dimension ref="A1:C6"/>
  <sheetViews>
    <sheetView workbookViewId="0">
      <selection activeCell="M8" sqref="M8"/>
    </sheetView>
  </sheetViews>
  <sheetFormatPr defaultRowHeight="12.75"/>
  <cols>
    <col min="1" max="1" width="13.85546875" bestFit="1" customWidth="1"/>
    <col min="2" max="2" width="17" bestFit="1" customWidth="1"/>
    <col min="3" max="4" width="11.7109375" bestFit="1" customWidth="1"/>
  </cols>
  <sheetData>
    <row r="1" spans="1:3">
      <c r="A1" s="135" t="s">
        <v>188</v>
      </c>
      <c r="B1" s="136">
        <v>2025</v>
      </c>
    </row>
    <row r="3" spans="1:3">
      <c r="A3" s="135" t="s">
        <v>280</v>
      </c>
      <c r="B3" s="135" t="s">
        <v>369</v>
      </c>
    </row>
    <row r="4" spans="1:3">
      <c r="A4" s="135" t="s">
        <v>278</v>
      </c>
      <c r="B4" t="s">
        <v>352</v>
      </c>
      <c r="C4" t="s">
        <v>279</v>
      </c>
    </row>
    <row r="5" spans="1:3">
      <c r="A5" s="136" t="s">
        <v>373</v>
      </c>
      <c r="B5" s="137">
        <v>2</v>
      </c>
      <c r="C5" s="137">
        <v>2</v>
      </c>
    </row>
    <row r="6" spans="1:3">
      <c r="A6" s="136" t="s">
        <v>279</v>
      </c>
      <c r="B6" s="137">
        <v>2</v>
      </c>
      <c r="C6" s="137">
        <v>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R87"/>
  <sheetViews>
    <sheetView topLeftCell="A61" zoomScaleNormal="100" workbookViewId="0">
      <selection activeCell="F82" sqref="F82"/>
    </sheetView>
  </sheetViews>
  <sheetFormatPr defaultColWidth="9" defaultRowHeight="11.25"/>
  <cols>
    <col min="1" max="1" width="9" style="1" customWidth="1"/>
    <col min="2" max="2" width="11.42578125" style="1" customWidth="1"/>
    <col min="3" max="5" width="9" style="1"/>
    <col min="6" max="6" width="9.7109375" style="1" customWidth="1"/>
    <col min="7" max="7" width="9" style="1" customWidth="1"/>
    <col min="8" max="8" width="9" style="1"/>
    <col min="9" max="9" width="10.140625" style="1" bestFit="1" customWidth="1"/>
    <col min="10" max="10" width="9" style="1"/>
    <col min="11" max="11" width="10.7109375" style="1" customWidth="1"/>
    <col min="12" max="13" width="9" style="1"/>
    <col min="14" max="14" width="9.85546875" style="1" customWidth="1"/>
    <col min="15" max="16384" width="9" style="46"/>
  </cols>
  <sheetData>
    <row r="1" spans="1:18" ht="15.75" customHeight="1">
      <c r="A1" s="45" t="s">
        <v>16</v>
      </c>
    </row>
    <row r="2" spans="1:18" ht="12" thickBot="1">
      <c r="A2" s="45" t="s">
        <v>17</v>
      </c>
      <c r="B2" s="45"/>
      <c r="C2" s="3">
        <v>45413</v>
      </c>
    </row>
    <row r="3" spans="1:18" ht="45">
      <c r="A3" s="4" t="s">
        <v>19</v>
      </c>
      <c r="B3" s="5" t="s">
        <v>30</v>
      </c>
      <c r="C3" s="5" t="s">
        <v>20</v>
      </c>
      <c r="D3" s="6" t="s">
        <v>21</v>
      </c>
      <c r="E3" s="6" t="s">
        <v>22</v>
      </c>
      <c r="F3" s="69" t="s">
        <v>23</v>
      </c>
      <c r="G3" s="70" t="s">
        <v>0</v>
      </c>
      <c r="H3" s="47"/>
      <c r="I3" s="47"/>
      <c r="J3" s="47"/>
      <c r="K3" s="48"/>
    </row>
    <row r="4" spans="1:18">
      <c r="A4" s="79">
        <v>10</v>
      </c>
      <c r="B4" s="80" t="s">
        <v>40</v>
      </c>
      <c r="C4" s="81">
        <v>29.63</v>
      </c>
      <c r="D4" s="49">
        <v>1909.07</v>
      </c>
      <c r="E4" s="81">
        <f>65.06+C4</f>
        <v>94.69</v>
      </c>
      <c r="F4" s="1">
        <f>4017.63+D4</f>
        <v>5926.7</v>
      </c>
      <c r="G4" s="73" t="s">
        <v>234</v>
      </c>
      <c r="I4" s="2"/>
      <c r="K4" s="50"/>
      <c r="M4" s="82"/>
    </row>
    <row r="5" spans="1:18">
      <c r="A5" s="7">
        <v>12</v>
      </c>
      <c r="B5" s="76" t="s">
        <v>41</v>
      </c>
      <c r="C5" s="83"/>
      <c r="D5" s="49"/>
      <c r="E5" s="77"/>
      <c r="F5" s="84"/>
      <c r="G5" s="72"/>
      <c r="H5" s="46"/>
      <c r="I5" s="46"/>
      <c r="J5" s="46"/>
      <c r="K5" s="50"/>
    </row>
    <row r="6" spans="1:18">
      <c r="A6" s="7">
        <v>10</v>
      </c>
      <c r="B6" s="76" t="s">
        <v>24</v>
      </c>
      <c r="C6" s="83"/>
      <c r="E6" s="77"/>
      <c r="F6" s="85"/>
      <c r="G6" s="72"/>
      <c r="K6" s="50"/>
      <c r="N6" s="86"/>
    </row>
    <row r="7" spans="1:18">
      <c r="A7" s="7">
        <v>60</v>
      </c>
      <c r="B7" s="76" t="s">
        <v>25</v>
      </c>
      <c r="C7" s="87">
        <v>9.01</v>
      </c>
      <c r="D7" s="49">
        <v>1216.3499999999999</v>
      </c>
      <c r="E7" s="88">
        <f>368.5+C7</f>
        <v>377.51</v>
      </c>
      <c r="F7" s="84">
        <f>49747.5+D7</f>
        <v>50963.85</v>
      </c>
      <c r="G7" s="72" t="s">
        <v>230</v>
      </c>
      <c r="K7" s="50"/>
      <c r="M7" s="86"/>
      <c r="P7" s="42"/>
    </row>
    <row r="8" spans="1:18" ht="12.75">
      <c r="A8" s="7">
        <v>70</v>
      </c>
      <c r="B8" s="89" t="s">
        <v>26</v>
      </c>
      <c r="C8" s="90"/>
      <c r="D8" s="51"/>
      <c r="E8" s="91"/>
      <c r="F8" s="84"/>
      <c r="G8" s="71"/>
      <c r="I8" s="2"/>
      <c r="K8" s="50"/>
      <c r="M8" s="92"/>
      <c r="P8" s="52"/>
      <c r="Q8" s="52"/>
      <c r="R8" s="52"/>
    </row>
    <row r="9" spans="1:18">
      <c r="A9" s="8">
        <v>92</v>
      </c>
      <c r="B9" s="76" t="s">
        <v>18</v>
      </c>
      <c r="C9" s="83"/>
      <c r="D9" s="77"/>
      <c r="E9" s="77"/>
      <c r="F9" s="84"/>
      <c r="G9" s="73"/>
      <c r="K9" s="50"/>
      <c r="O9" s="67"/>
    </row>
    <row r="10" spans="1:18" ht="12.75">
      <c r="A10" s="38" t="s">
        <v>222</v>
      </c>
      <c r="B10" s="93"/>
      <c r="C10" s="94">
        <f>SUM(C4:C9)</f>
        <v>38.64</v>
      </c>
      <c r="D10" s="95">
        <f>SUM(D4:D9)</f>
        <v>3125.42</v>
      </c>
      <c r="E10" s="94">
        <f>SUM(E4:E9)</f>
        <v>472.2</v>
      </c>
      <c r="F10" s="94">
        <f>SUM(F4:F9)</f>
        <v>56890.549999999996</v>
      </c>
      <c r="G10" s="73"/>
      <c r="K10" s="50"/>
      <c r="M10" s="45"/>
      <c r="N10" s="61"/>
      <c r="P10" s="52"/>
      <c r="Q10" s="52"/>
      <c r="R10" s="52"/>
    </row>
    <row r="11" spans="1:18">
      <c r="A11" s="38" t="s">
        <v>223</v>
      </c>
      <c r="B11" s="93"/>
      <c r="C11" s="96">
        <v>0</v>
      </c>
      <c r="D11" s="97">
        <f>SUM(D7:D9)</f>
        <v>1216.3499999999999</v>
      </c>
      <c r="E11" s="96">
        <v>29.09</v>
      </c>
      <c r="F11" s="98">
        <v>3207.18</v>
      </c>
      <c r="G11" s="73"/>
      <c r="K11" s="50"/>
    </row>
    <row r="12" spans="1:18" ht="12" thickBot="1">
      <c r="A12" s="38" t="s">
        <v>90</v>
      </c>
      <c r="B12" s="93"/>
      <c r="C12" s="96">
        <v>0</v>
      </c>
      <c r="D12" s="97">
        <v>0</v>
      </c>
      <c r="E12" s="96">
        <v>301.10000000000002</v>
      </c>
      <c r="F12" s="99">
        <v>16447.27</v>
      </c>
      <c r="G12" s="74"/>
      <c r="H12" s="10"/>
      <c r="I12" s="10"/>
      <c r="J12" s="10"/>
      <c r="K12" s="56"/>
    </row>
    <row r="13" spans="1:18">
      <c r="A13" s="38" t="s">
        <v>87</v>
      </c>
      <c r="B13" s="96"/>
      <c r="C13" s="96">
        <v>0</v>
      </c>
      <c r="D13" s="97">
        <v>0</v>
      </c>
      <c r="E13" s="96">
        <v>63.13</v>
      </c>
      <c r="F13" s="97">
        <v>4801.78</v>
      </c>
      <c r="K13" s="50"/>
    </row>
    <row r="14" spans="1:18">
      <c r="A14" s="38" t="s">
        <v>77</v>
      </c>
      <c r="B14" s="96"/>
      <c r="C14" s="96">
        <v>0</v>
      </c>
      <c r="D14" s="97">
        <v>0</v>
      </c>
      <c r="E14" s="96">
        <v>10.76</v>
      </c>
      <c r="F14" s="96">
        <v>546.61</v>
      </c>
      <c r="K14" s="50"/>
    </row>
    <row r="15" spans="1:18" ht="12" thickBot="1">
      <c r="A15" s="40" t="s">
        <v>68</v>
      </c>
      <c r="B15" s="53"/>
      <c r="C15" s="53">
        <v>0</v>
      </c>
      <c r="D15" s="54">
        <v>0</v>
      </c>
      <c r="E15" s="55">
        <v>142.75</v>
      </c>
      <c r="F15" s="55">
        <v>7273.02</v>
      </c>
      <c r="G15" s="10"/>
      <c r="H15" s="10"/>
      <c r="I15" s="10"/>
      <c r="J15" s="10"/>
      <c r="K15" s="56"/>
    </row>
    <row r="16" spans="1:18">
      <c r="A16" s="41" t="s">
        <v>69</v>
      </c>
      <c r="B16" s="100"/>
      <c r="C16" s="100">
        <v>0</v>
      </c>
      <c r="D16" s="101">
        <v>0</v>
      </c>
      <c r="E16" s="101">
        <v>62.39</v>
      </c>
      <c r="F16" s="101">
        <v>3877.14</v>
      </c>
      <c r="K16" s="50"/>
    </row>
    <row r="17" spans="1:14">
      <c r="A17" s="38" t="s">
        <v>70</v>
      </c>
      <c r="B17" s="96"/>
      <c r="C17" s="96">
        <v>0</v>
      </c>
      <c r="D17" s="101">
        <v>0</v>
      </c>
      <c r="E17" s="96">
        <v>44.86</v>
      </c>
      <c r="F17" s="97">
        <v>2553.4699999999998</v>
      </c>
      <c r="K17" s="50"/>
    </row>
    <row r="18" spans="1:14" ht="12" thickBot="1">
      <c r="A18" s="39" t="s">
        <v>62</v>
      </c>
      <c r="B18" s="53"/>
      <c r="C18" s="57">
        <v>0</v>
      </c>
      <c r="D18" s="54">
        <v>0</v>
      </c>
      <c r="E18" s="57">
        <v>298.39999999999998</v>
      </c>
      <c r="F18" s="54">
        <v>12058.79</v>
      </c>
      <c r="G18" s="10"/>
      <c r="H18" s="10"/>
      <c r="I18" s="10"/>
      <c r="J18" s="10"/>
      <c r="K18" s="56"/>
    </row>
    <row r="19" spans="1:14">
      <c r="A19" s="102" t="s">
        <v>56</v>
      </c>
      <c r="B19" s="100"/>
      <c r="C19" s="100">
        <v>0</v>
      </c>
      <c r="D19" s="101">
        <v>0</v>
      </c>
      <c r="E19" s="100">
        <v>46.05</v>
      </c>
      <c r="F19" s="101">
        <v>2068.69</v>
      </c>
      <c r="K19" s="50"/>
    </row>
    <row r="20" spans="1:14">
      <c r="A20" s="102" t="s">
        <v>47</v>
      </c>
      <c r="B20" s="96"/>
      <c r="C20" s="100">
        <v>0</v>
      </c>
      <c r="D20" s="101">
        <v>0</v>
      </c>
      <c r="E20" s="100">
        <v>51.48</v>
      </c>
      <c r="F20" s="101">
        <v>1725.75</v>
      </c>
      <c r="K20" s="50"/>
    </row>
    <row r="21" spans="1:14">
      <c r="A21" s="102" t="s">
        <v>48</v>
      </c>
      <c r="B21" s="96"/>
      <c r="C21" s="96">
        <v>0</v>
      </c>
      <c r="D21" s="97">
        <v>0</v>
      </c>
      <c r="E21" s="100">
        <v>283.22000000000003</v>
      </c>
      <c r="F21" s="101">
        <v>11949.05</v>
      </c>
      <c r="K21" s="50"/>
    </row>
    <row r="22" spans="1:14">
      <c r="A22" s="102" t="s">
        <v>27</v>
      </c>
      <c r="B22" s="96"/>
      <c r="C22" s="96">
        <v>0</v>
      </c>
      <c r="D22" s="97">
        <v>0</v>
      </c>
      <c r="E22" s="77">
        <v>370.59</v>
      </c>
      <c r="F22" s="88">
        <v>10669.08</v>
      </c>
      <c r="K22" s="50"/>
    </row>
    <row r="23" spans="1:14" ht="12" thickBot="1">
      <c r="A23" s="9" t="s">
        <v>60</v>
      </c>
      <c r="B23" s="53"/>
      <c r="C23" s="58">
        <v>0</v>
      </c>
      <c r="D23" s="55">
        <v>0</v>
      </c>
      <c r="E23" s="55">
        <v>176.5</v>
      </c>
      <c r="F23" s="55">
        <v>5802</v>
      </c>
      <c r="G23" s="10"/>
      <c r="H23" s="10"/>
      <c r="I23" s="10"/>
      <c r="J23" s="10"/>
      <c r="K23" s="56"/>
    </row>
    <row r="24" spans="1:14">
      <c r="A24" s="59"/>
      <c r="C24" s="60"/>
      <c r="D24" s="61"/>
      <c r="E24" s="61"/>
      <c r="F24" s="61"/>
    </row>
    <row r="25" spans="1:14" ht="12" thickBot="1">
      <c r="A25" s="62" t="s">
        <v>1</v>
      </c>
    </row>
    <row r="26" spans="1:14">
      <c r="A26" s="11"/>
      <c r="B26" s="12" t="s">
        <v>29</v>
      </c>
      <c r="C26" s="12" t="s">
        <v>35</v>
      </c>
      <c r="D26" s="12" t="s">
        <v>28</v>
      </c>
      <c r="E26" s="12" t="s">
        <v>36</v>
      </c>
      <c r="F26" s="12" t="s">
        <v>37</v>
      </c>
      <c r="G26" s="12" t="s">
        <v>38</v>
      </c>
      <c r="H26" s="12" t="s">
        <v>2</v>
      </c>
      <c r="I26" s="12" t="s">
        <v>31</v>
      </c>
      <c r="J26" s="12" t="s">
        <v>32</v>
      </c>
      <c r="K26" s="12" t="s">
        <v>3</v>
      </c>
      <c r="L26" s="12" t="s">
        <v>33</v>
      </c>
      <c r="M26" s="13" t="s">
        <v>34</v>
      </c>
      <c r="N26" s="14" t="s">
        <v>63</v>
      </c>
    </row>
    <row r="27" spans="1:14">
      <c r="A27" s="15" t="s">
        <v>4</v>
      </c>
      <c r="B27" s="103">
        <v>0</v>
      </c>
      <c r="C27" s="103">
        <v>1</v>
      </c>
      <c r="D27" s="103">
        <v>1</v>
      </c>
      <c r="E27" s="103">
        <v>1</v>
      </c>
      <c r="F27" s="103">
        <v>1</v>
      </c>
      <c r="G27" s="103">
        <v>0</v>
      </c>
      <c r="H27" s="103">
        <v>0</v>
      </c>
      <c r="I27" s="103">
        <v>1</v>
      </c>
      <c r="J27" s="103">
        <v>0</v>
      </c>
      <c r="K27" s="103">
        <v>0</v>
      </c>
      <c r="L27" s="103">
        <v>0</v>
      </c>
      <c r="M27" s="104">
        <v>1</v>
      </c>
      <c r="N27" s="16">
        <f>SUM(B27:M27)</f>
        <v>6</v>
      </c>
    </row>
    <row r="28" spans="1:14">
      <c r="A28" s="15" t="s">
        <v>5</v>
      </c>
      <c r="B28" s="105"/>
      <c r="C28" s="105" t="s">
        <v>6</v>
      </c>
      <c r="D28" s="105" t="s">
        <v>7</v>
      </c>
      <c r="E28" s="105" t="s">
        <v>45</v>
      </c>
      <c r="F28" s="105" t="s">
        <v>8</v>
      </c>
      <c r="G28" s="105"/>
      <c r="H28" s="105"/>
      <c r="I28" s="106" t="s">
        <v>9</v>
      </c>
      <c r="J28" s="105"/>
      <c r="K28" s="105"/>
      <c r="L28" s="105"/>
      <c r="M28" s="107" t="s">
        <v>45</v>
      </c>
      <c r="N28" s="17"/>
    </row>
    <row r="29" spans="1:14">
      <c r="A29" s="15" t="s">
        <v>10</v>
      </c>
      <c r="B29" s="103"/>
      <c r="C29" s="108">
        <v>8.5</v>
      </c>
      <c r="D29" s="103">
        <v>8</v>
      </c>
      <c r="E29" s="103">
        <v>6</v>
      </c>
      <c r="F29" s="103">
        <v>122</v>
      </c>
      <c r="G29" s="103"/>
      <c r="H29" s="103"/>
      <c r="I29" s="103">
        <v>28</v>
      </c>
      <c r="J29" s="105"/>
      <c r="K29" s="105"/>
      <c r="L29" s="105"/>
      <c r="M29" s="109">
        <v>4</v>
      </c>
      <c r="N29" s="18">
        <f>SUM(B29:M29)</f>
        <v>176.5</v>
      </c>
    </row>
    <row r="30" spans="1:14" ht="12" thickBot="1">
      <c r="A30" s="19" t="s">
        <v>11</v>
      </c>
      <c r="B30" s="20"/>
      <c r="C30" s="20">
        <v>213.94</v>
      </c>
      <c r="D30" s="20">
        <v>201.5</v>
      </c>
      <c r="E30" s="20">
        <v>202.44</v>
      </c>
      <c r="F30" s="20">
        <v>4282.5</v>
      </c>
      <c r="G30" s="20"/>
      <c r="H30" s="20"/>
      <c r="I30" s="20">
        <v>788.76</v>
      </c>
      <c r="J30" s="21"/>
      <c r="K30" s="21"/>
      <c r="L30" s="21"/>
      <c r="M30" s="22">
        <v>112.68</v>
      </c>
      <c r="N30" s="23">
        <f>SUM(B30:M30)</f>
        <v>5801.8200000000006</v>
      </c>
    </row>
    <row r="31" spans="1:14">
      <c r="A31" s="11" t="s">
        <v>12</v>
      </c>
      <c r="B31" s="25">
        <v>0</v>
      </c>
      <c r="C31" s="25">
        <v>0</v>
      </c>
      <c r="D31" s="25">
        <v>2</v>
      </c>
      <c r="E31" s="25">
        <v>0</v>
      </c>
      <c r="F31" s="25">
        <v>1</v>
      </c>
      <c r="G31" s="25">
        <v>2</v>
      </c>
      <c r="H31" s="25">
        <v>1</v>
      </c>
      <c r="I31" s="25">
        <v>1</v>
      </c>
      <c r="J31" s="25">
        <v>1</v>
      </c>
      <c r="K31" s="25">
        <v>3</v>
      </c>
      <c r="L31" s="25">
        <v>1</v>
      </c>
      <c r="M31" s="26">
        <v>0</v>
      </c>
      <c r="N31" s="27">
        <f>SUM(B31:M31)</f>
        <v>12</v>
      </c>
    </row>
    <row r="32" spans="1:14">
      <c r="A32" s="15" t="s">
        <v>5</v>
      </c>
      <c r="B32" s="106"/>
      <c r="C32" s="106"/>
      <c r="D32" s="106" t="s">
        <v>13</v>
      </c>
      <c r="E32" s="106"/>
      <c r="F32" s="106" t="s">
        <v>6</v>
      </c>
      <c r="G32" s="106" t="s">
        <v>14</v>
      </c>
      <c r="H32" s="106" t="s">
        <v>9</v>
      </c>
      <c r="I32" s="110" t="s">
        <v>15</v>
      </c>
      <c r="J32" s="105" t="s">
        <v>45</v>
      </c>
      <c r="K32" s="106" t="s">
        <v>46</v>
      </c>
      <c r="L32" s="105" t="s">
        <v>45</v>
      </c>
      <c r="M32" s="107"/>
      <c r="N32" s="17"/>
    </row>
    <row r="33" spans="1:16">
      <c r="A33" s="15" t="s">
        <v>10</v>
      </c>
      <c r="B33" s="103"/>
      <c r="C33" s="103"/>
      <c r="D33" s="103">
        <v>19</v>
      </c>
      <c r="E33" s="103"/>
      <c r="F33" s="108">
        <v>3.2</v>
      </c>
      <c r="G33" s="103">
        <v>109</v>
      </c>
      <c r="H33" s="28">
        <v>20.85</v>
      </c>
      <c r="I33" s="111">
        <v>124.87</v>
      </c>
      <c r="J33" s="111">
        <v>22.29</v>
      </c>
      <c r="K33" s="111">
        <v>68.25</v>
      </c>
      <c r="L33" s="103">
        <v>3.13</v>
      </c>
      <c r="M33" s="109"/>
      <c r="N33" s="29">
        <f>SUM(B33:M33)</f>
        <v>370.59</v>
      </c>
    </row>
    <row r="34" spans="1:16" ht="12" thickBot="1">
      <c r="A34" s="19" t="s">
        <v>11</v>
      </c>
      <c r="B34" s="30"/>
      <c r="C34" s="30"/>
      <c r="D34" s="20">
        <v>792.77</v>
      </c>
      <c r="E34" s="30"/>
      <c r="F34" s="31">
        <v>88.21</v>
      </c>
      <c r="G34" s="30">
        <v>3013</v>
      </c>
      <c r="H34" s="20">
        <v>547.1</v>
      </c>
      <c r="I34" s="20">
        <v>3283.41</v>
      </c>
      <c r="J34" s="20">
        <v>616.09</v>
      </c>
      <c r="K34" s="20">
        <v>2241.98</v>
      </c>
      <c r="L34" s="30">
        <v>86.52</v>
      </c>
      <c r="M34" s="22"/>
      <c r="N34" s="32">
        <f>SUM(B34:M34)</f>
        <v>10669.08</v>
      </c>
    </row>
    <row r="35" spans="1:16" ht="12" thickBot="1">
      <c r="A35" s="24"/>
      <c r="B35" s="112"/>
      <c r="C35" s="112"/>
      <c r="D35" s="113"/>
      <c r="E35" s="112"/>
      <c r="F35" s="114"/>
      <c r="G35" s="112"/>
      <c r="H35" s="113"/>
      <c r="I35" s="113"/>
      <c r="J35" s="113"/>
      <c r="K35" s="113"/>
      <c r="L35" s="112"/>
      <c r="M35" s="115"/>
      <c r="N35" s="33"/>
    </row>
    <row r="36" spans="1:16">
      <c r="A36" s="11" t="s">
        <v>57</v>
      </c>
      <c r="B36" s="25">
        <v>0</v>
      </c>
      <c r="C36" s="25">
        <v>1</v>
      </c>
      <c r="D36" s="25">
        <v>2</v>
      </c>
      <c r="E36" s="25">
        <v>2</v>
      </c>
      <c r="F36" s="25">
        <v>0</v>
      </c>
      <c r="G36" s="25">
        <v>0</v>
      </c>
      <c r="H36" s="25">
        <v>1</v>
      </c>
      <c r="I36" s="25">
        <v>0</v>
      </c>
      <c r="J36" s="25">
        <v>1</v>
      </c>
      <c r="K36" s="25">
        <v>1</v>
      </c>
      <c r="L36" s="25">
        <v>0</v>
      </c>
      <c r="M36" s="26">
        <v>1</v>
      </c>
      <c r="N36" s="27">
        <f>SUM(B36:M36)</f>
        <v>9</v>
      </c>
    </row>
    <row r="37" spans="1:16">
      <c r="A37" s="15" t="s">
        <v>5</v>
      </c>
      <c r="B37" s="106"/>
      <c r="C37" s="105" t="s">
        <v>45</v>
      </c>
      <c r="D37" s="106" t="s">
        <v>49</v>
      </c>
      <c r="E37" s="106" t="s">
        <v>13</v>
      </c>
      <c r="F37" s="106"/>
      <c r="G37" s="106"/>
      <c r="H37" s="106" t="s">
        <v>50</v>
      </c>
      <c r="I37" s="110"/>
      <c r="J37" s="105" t="s">
        <v>51</v>
      </c>
      <c r="K37" s="106" t="s">
        <v>52</v>
      </c>
      <c r="L37" s="105"/>
      <c r="M37" s="107" t="s">
        <v>9</v>
      </c>
      <c r="N37" s="29"/>
    </row>
    <row r="38" spans="1:16">
      <c r="A38" s="15" t="s">
        <v>10</v>
      </c>
      <c r="B38" s="103"/>
      <c r="C38" s="108">
        <v>1.5</v>
      </c>
      <c r="D38" s="111">
        <v>73.849999999999994</v>
      </c>
      <c r="E38" s="111">
        <v>14.37</v>
      </c>
      <c r="F38" s="108"/>
      <c r="G38" s="103"/>
      <c r="H38" s="28">
        <v>8.5</v>
      </c>
      <c r="I38" s="111"/>
      <c r="J38" s="111">
        <v>40</v>
      </c>
      <c r="K38" s="111">
        <v>25</v>
      </c>
      <c r="L38" s="103"/>
      <c r="M38" s="109">
        <v>120</v>
      </c>
      <c r="N38" s="29">
        <f>SUM(B38:M38)</f>
        <v>283.22000000000003</v>
      </c>
    </row>
    <row r="39" spans="1:16" ht="12" thickBot="1">
      <c r="A39" s="19" t="s">
        <v>11</v>
      </c>
      <c r="B39" s="30"/>
      <c r="C39" s="34">
        <v>44.75</v>
      </c>
      <c r="D39" s="20">
        <v>2375.5100000000002</v>
      </c>
      <c r="E39" s="20">
        <v>428.66</v>
      </c>
      <c r="F39" s="31"/>
      <c r="G39" s="30"/>
      <c r="H39" s="20">
        <v>267.58</v>
      </c>
      <c r="I39" s="20"/>
      <c r="J39" s="20">
        <v>4455.6000000000004</v>
      </c>
      <c r="K39" s="20">
        <v>745.75</v>
      </c>
      <c r="L39" s="30"/>
      <c r="M39" s="22">
        <v>3631.2</v>
      </c>
      <c r="N39" s="32">
        <f>SUM(B39:M39)</f>
        <v>11949.05</v>
      </c>
    </row>
    <row r="40" spans="1:16">
      <c r="A40" s="11" t="s">
        <v>53</v>
      </c>
      <c r="B40" s="25">
        <v>0</v>
      </c>
      <c r="C40" s="25">
        <v>0</v>
      </c>
      <c r="D40" s="25">
        <v>1</v>
      </c>
      <c r="E40" s="25">
        <v>0</v>
      </c>
      <c r="F40" s="25">
        <v>1</v>
      </c>
      <c r="G40" s="25"/>
      <c r="H40" s="25">
        <v>1</v>
      </c>
      <c r="I40" s="25">
        <v>0</v>
      </c>
      <c r="J40" s="25">
        <v>1</v>
      </c>
      <c r="K40" s="25">
        <v>0</v>
      </c>
      <c r="L40" s="25">
        <v>1</v>
      </c>
      <c r="M40" s="26">
        <v>0</v>
      </c>
      <c r="N40" s="27">
        <f>SUM(B40:M40)</f>
        <v>5</v>
      </c>
    </row>
    <row r="41" spans="1:16">
      <c r="A41" s="15" t="s">
        <v>5</v>
      </c>
      <c r="B41" s="106"/>
      <c r="C41" s="105"/>
      <c r="D41" s="105" t="s">
        <v>45</v>
      </c>
      <c r="E41" s="106"/>
      <c r="F41" s="106" t="s">
        <v>54</v>
      </c>
      <c r="G41" s="106"/>
      <c r="H41" s="106" t="s">
        <v>50</v>
      </c>
      <c r="I41" s="110"/>
      <c r="J41" s="105" t="s">
        <v>45</v>
      </c>
      <c r="K41" s="106"/>
      <c r="L41" s="105" t="s">
        <v>55</v>
      </c>
      <c r="M41" s="107"/>
      <c r="N41" s="29"/>
    </row>
    <row r="42" spans="1:16">
      <c r="A42" s="15" t="s">
        <v>10</v>
      </c>
      <c r="B42" s="103"/>
      <c r="C42" s="108"/>
      <c r="D42" s="111">
        <v>4.4000000000000004</v>
      </c>
      <c r="E42" s="111"/>
      <c r="F42" s="108">
        <v>6</v>
      </c>
      <c r="G42" s="103"/>
      <c r="H42" s="28">
        <v>4</v>
      </c>
      <c r="I42" s="111"/>
      <c r="J42" s="111">
        <v>17.079999999999998</v>
      </c>
      <c r="K42" s="111"/>
      <c r="L42" s="103">
        <v>20</v>
      </c>
      <c r="M42" s="109"/>
      <c r="N42" s="29">
        <f>SUM(B42:M42)</f>
        <v>51.48</v>
      </c>
      <c r="P42" s="46" t="s">
        <v>39</v>
      </c>
    </row>
    <row r="43" spans="1:16" ht="12" thickBot="1">
      <c r="A43" s="19" t="s">
        <v>11</v>
      </c>
      <c r="B43" s="30"/>
      <c r="C43" s="34"/>
      <c r="D43" s="20">
        <v>141.63999999999999</v>
      </c>
      <c r="E43" s="20"/>
      <c r="F43" s="31">
        <v>193.14</v>
      </c>
      <c r="G43" s="30"/>
      <c r="H43" s="20">
        <v>128.76</v>
      </c>
      <c r="I43" s="20"/>
      <c r="J43" s="20">
        <v>549.80999999999995</v>
      </c>
      <c r="K43" s="20"/>
      <c r="L43" s="30">
        <v>712.4</v>
      </c>
      <c r="M43" s="22"/>
      <c r="N43" s="32">
        <f>SUM(B43:M43)</f>
        <v>1725.75</v>
      </c>
    </row>
    <row r="44" spans="1:16">
      <c r="A44" s="11" t="s">
        <v>58</v>
      </c>
      <c r="B44" s="25">
        <v>0</v>
      </c>
      <c r="C44" s="25">
        <v>1</v>
      </c>
      <c r="D44" s="25">
        <v>1</v>
      </c>
      <c r="E44" s="25">
        <v>0</v>
      </c>
      <c r="F44" s="25">
        <v>1</v>
      </c>
      <c r="G44" s="25">
        <v>0</v>
      </c>
      <c r="H44" s="25">
        <v>0</v>
      </c>
      <c r="I44" s="25">
        <v>2</v>
      </c>
      <c r="J44" s="25">
        <v>0</v>
      </c>
      <c r="K44" s="25">
        <v>0</v>
      </c>
      <c r="L44" s="25">
        <v>1</v>
      </c>
      <c r="M44" s="26">
        <v>1</v>
      </c>
      <c r="N44" s="27">
        <f>SUM(B44:M44)</f>
        <v>7</v>
      </c>
    </row>
    <row r="45" spans="1:16">
      <c r="A45" s="15" t="s">
        <v>5</v>
      </c>
      <c r="B45" s="106"/>
      <c r="C45" s="105" t="s">
        <v>52</v>
      </c>
      <c r="D45" s="105" t="s">
        <v>9</v>
      </c>
      <c r="E45" s="106"/>
      <c r="F45" s="106" t="s">
        <v>59</v>
      </c>
      <c r="G45" s="106"/>
      <c r="H45" s="106"/>
      <c r="I45" s="110" t="s">
        <v>61</v>
      </c>
      <c r="J45" s="105"/>
      <c r="K45" s="106"/>
      <c r="L45" s="106" t="s">
        <v>50</v>
      </c>
      <c r="M45" s="107" t="s">
        <v>6</v>
      </c>
      <c r="N45" s="29"/>
    </row>
    <row r="46" spans="1:16">
      <c r="A46" s="15" t="s">
        <v>10</v>
      </c>
      <c r="B46" s="103"/>
      <c r="C46" s="111">
        <v>3.75</v>
      </c>
      <c r="D46" s="111">
        <v>5.74</v>
      </c>
      <c r="E46" s="111"/>
      <c r="F46" s="108">
        <v>10</v>
      </c>
      <c r="G46" s="103"/>
      <c r="H46" s="28"/>
      <c r="I46" s="111">
        <v>15.06</v>
      </c>
      <c r="J46" s="111"/>
      <c r="K46" s="111"/>
      <c r="L46" s="108">
        <v>7.5</v>
      </c>
      <c r="M46" s="109">
        <v>4</v>
      </c>
      <c r="N46" s="29">
        <f>SUM(B46:M46)</f>
        <v>46.050000000000004</v>
      </c>
      <c r="P46" s="46" t="s">
        <v>39</v>
      </c>
    </row>
    <row r="47" spans="1:16" ht="12" thickBot="1">
      <c r="A47" s="19" t="s">
        <v>11</v>
      </c>
      <c r="B47" s="30"/>
      <c r="C47" s="20">
        <v>139.99</v>
      </c>
      <c r="D47" s="20">
        <v>203.25</v>
      </c>
      <c r="E47" s="20"/>
      <c r="F47" s="31">
        <v>339.4</v>
      </c>
      <c r="G47" s="30"/>
      <c r="H47" s="20"/>
      <c r="I47" s="20">
        <v>533.27</v>
      </c>
      <c r="J47" s="20"/>
      <c r="K47" s="20"/>
      <c r="L47" s="20">
        <v>265.58</v>
      </c>
      <c r="M47" s="35">
        <v>587.20000000000005</v>
      </c>
      <c r="N47" s="32">
        <f>SUM(B47:M47)</f>
        <v>2068.6899999999996</v>
      </c>
    </row>
    <row r="48" spans="1:16">
      <c r="A48" s="11" t="s">
        <v>65</v>
      </c>
      <c r="B48" s="25">
        <v>0</v>
      </c>
      <c r="C48" s="25">
        <v>0</v>
      </c>
      <c r="D48" s="25">
        <v>1</v>
      </c>
      <c r="E48" s="25">
        <v>1</v>
      </c>
      <c r="F48" s="25">
        <v>0</v>
      </c>
      <c r="G48" s="25">
        <v>0</v>
      </c>
      <c r="H48" s="25">
        <v>2</v>
      </c>
      <c r="I48" s="25">
        <v>1</v>
      </c>
      <c r="J48" s="25">
        <v>0</v>
      </c>
      <c r="K48" s="25">
        <v>0</v>
      </c>
      <c r="L48" s="25">
        <v>2</v>
      </c>
      <c r="M48" s="26">
        <v>0</v>
      </c>
      <c r="N48" s="27">
        <f>SUM(B48:M48)</f>
        <v>7</v>
      </c>
    </row>
    <row r="49" spans="1:16">
      <c r="A49" s="15" t="s">
        <v>5</v>
      </c>
      <c r="B49" s="106"/>
      <c r="C49" s="105"/>
      <c r="D49" s="105" t="s">
        <v>6</v>
      </c>
      <c r="E49" s="106" t="s">
        <v>52</v>
      </c>
      <c r="F49" s="106"/>
      <c r="G49" s="106"/>
      <c r="H49" s="106" t="s">
        <v>14</v>
      </c>
      <c r="I49" s="106" t="s">
        <v>50</v>
      </c>
      <c r="J49" s="105"/>
      <c r="K49" s="106"/>
      <c r="L49" s="106" t="s">
        <v>64</v>
      </c>
      <c r="M49" s="107"/>
      <c r="N49" s="29"/>
    </row>
    <row r="50" spans="1:16">
      <c r="A50" s="15" t="s">
        <v>10</v>
      </c>
      <c r="B50" s="103"/>
      <c r="C50" s="111"/>
      <c r="D50" s="111">
        <v>7.43</v>
      </c>
      <c r="E50" s="111">
        <v>79</v>
      </c>
      <c r="F50" s="108"/>
      <c r="G50" s="103"/>
      <c r="H50" s="28">
        <v>108.94</v>
      </c>
      <c r="I50" s="111">
        <v>76</v>
      </c>
      <c r="J50" s="111"/>
      <c r="K50" s="111"/>
      <c r="L50" s="108">
        <v>27.03</v>
      </c>
      <c r="M50" s="109"/>
      <c r="N50" s="29">
        <f>SUM(B50:M50)</f>
        <v>298.39999999999998</v>
      </c>
      <c r="P50" s="46" t="s">
        <v>39</v>
      </c>
    </row>
    <row r="51" spans="1:16" ht="12" thickBot="1">
      <c r="A51" s="19" t="s">
        <v>11</v>
      </c>
      <c r="B51" s="30"/>
      <c r="C51" s="20"/>
      <c r="D51" s="20">
        <v>289.39</v>
      </c>
      <c r="E51" s="20">
        <v>3078.63</v>
      </c>
      <c r="F51" s="31"/>
      <c r="G51" s="30"/>
      <c r="H51" s="20">
        <v>4625.59</v>
      </c>
      <c r="I51" s="20">
        <v>2960.2</v>
      </c>
      <c r="J51" s="20"/>
      <c r="K51" s="20"/>
      <c r="L51" s="20">
        <v>1104.98</v>
      </c>
      <c r="M51" s="35"/>
      <c r="N51" s="32">
        <f>SUM(B51:M51)</f>
        <v>12058.79</v>
      </c>
    </row>
    <row r="52" spans="1:16">
      <c r="A52" s="11" t="s">
        <v>66</v>
      </c>
      <c r="B52" s="25">
        <v>0</v>
      </c>
      <c r="C52" s="25">
        <v>0</v>
      </c>
      <c r="D52" s="25">
        <v>0</v>
      </c>
      <c r="E52" s="25">
        <v>0</v>
      </c>
      <c r="F52" s="25">
        <v>0</v>
      </c>
      <c r="G52" s="25">
        <v>0</v>
      </c>
      <c r="H52" s="25">
        <v>1</v>
      </c>
      <c r="I52" s="25">
        <v>0</v>
      </c>
      <c r="J52" s="25">
        <v>0</v>
      </c>
      <c r="K52" s="25">
        <v>0</v>
      </c>
      <c r="L52" s="25">
        <v>1</v>
      </c>
      <c r="M52" s="26">
        <v>1</v>
      </c>
      <c r="N52" s="27">
        <f>SUM(B52:M52)</f>
        <v>3</v>
      </c>
    </row>
    <row r="53" spans="1:16">
      <c r="A53" s="15" t="s">
        <v>5</v>
      </c>
      <c r="B53" s="106"/>
      <c r="C53" s="105"/>
      <c r="D53" s="105"/>
      <c r="E53" s="106"/>
      <c r="F53" s="106"/>
      <c r="G53" s="106"/>
      <c r="H53" s="105" t="s">
        <v>45</v>
      </c>
      <c r="I53" s="106"/>
      <c r="J53" s="105"/>
      <c r="K53" s="106"/>
      <c r="L53" s="105" t="s">
        <v>45</v>
      </c>
      <c r="M53" s="106" t="s">
        <v>50</v>
      </c>
      <c r="N53" s="29"/>
    </row>
    <row r="54" spans="1:16">
      <c r="A54" s="15" t="s">
        <v>10</v>
      </c>
      <c r="B54" s="103"/>
      <c r="C54" s="111"/>
      <c r="D54" s="111"/>
      <c r="E54" s="111"/>
      <c r="F54" s="108"/>
      <c r="G54" s="103"/>
      <c r="H54" s="28">
        <v>8.24</v>
      </c>
      <c r="I54" s="111"/>
      <c r="J54" s="111"/>
      <c r="K54" s="111"/>
      <c r="L54" s="111">
        <v>28.61</v>
      </c>
      <c r="M54" s="109">
        <v>8.01</v>
      </c>
      <c r="N54" s="29">
        <v>44.86</v>
      </c>
      <c r="P54" s="46" t="s">
        <v>39</v>
      </c>
    </row>
    <row r="55" spans="1:16" ht="12" thickBot="1">
      <c r="A55" s="19" t="s">
        <v>11</v>
      </c>
      <c r="B55" s="30"/>
      <c r="C55" s="20"/>
      <c r="D55" s="20"/>
      <c r="E55" s="20"/>
      <c r="F55" s="31"/>
      <c r="G55" s="30"/>
      <c r="H55" s="20">
        <v>349.87</v>
      </c>
      <c r="I55" s="20"/>
      <c r="J55" s="20"/>
      <c r="K55" s="20"/>
      <c r="L55" s="20">
        <v>1215.3499999999999</v>
      </c>
      <c r="M55" s="35">
        <v>988.25</v>
      </c>
      <c r="N55" s="32">
        <v>2553.4699999999998</v>
      </c>
    </row>
    <row r="56" spans="1:16">
      <c r="A56" s="11" t="s">
        <v>67</v>
      </c>
      <c r="B56" s="25">
        <v>0</v>
      </c>
      <c r="C56" s="25">
        <v>1</v>
      </c>
      <c r="D56" s="25">
        <v>0</v>
      </c>
      <c r="E56" s="25">
        <v>1</v>
      </c>
      <c r="F56" s="25">
        <v>0</v>
      </c>
      <c r="G56" s="25">
        <v>0</v>
      </c>
      <c r="H56" s="25">
        <v>1</v>
      </c>
      <c r="I56" s="25">
        <v>0</v>
      </c>
      <c r="J56" s="25">
        <v>0</v>
      </c>
      <c r="K56" s="25">
        <v>0</v>
      </c>
      <c r="L56" s="25">
        <v>0</v>
      </c>
      <c r="M56" s="26">
        <v>1</v>
      </c>
      <c r="N56" s="27">
        <f>SUM(B56:M56)</f>
        <v>4</v>
      </c>
    </row>
    <row r="57" spans="1:16">
      <c r="A57" s="15" t="s">
        <v>5</v>
      </c>
      <c r="B57" s="106" t="s">
        <v>50</v>
      </c>
      <c r="C57" s="105" t="s">
        <v>52</v>
      </c>
      <c r="D57" s="105"/>
      <c r="E57" s="106" t="s">
        <v>6</v>
      </c>
      <c r="F57" s="106"/>
      <c r="G57" s="106"/>
      <c r="H57" s="106" t="s">
        <v>8</v>
      </c>
      <c r="I57" s="106"/>
      <c r="J57" s="105"/>
      <c r="K57" s="106"/>
      <c r="L57" s="106"/>
      <c r="M57" s="107" t="s">
        <v>6</v>
      </c>
      <c r="N57" s="29"/>
    </row>
    <row r="58" spans="1:16">
      <c r="A58" s="15" t="s">
        <v>10</v>
      </c>
      <c r="B58" s="108">
        <v>5.9</v>
      </c>
      <c r="C58" s="111">
        <v>15.25</v>
      </c>
      <c r="D58" s="111"/>
      <c r="E58" s="111">
        <v>3.05</v>
      </c>
      <c r="F58" s="108"/>
      <c r="G58" s="103"/>
      <c r="H58" s="108">
        <v>23.25</v>
      </c>
      <c r="I58" s="111"/>
      <c r="J58" s="111"/>
      <c r="K58" s="111"/>
      <c r="L58" s="111"/>
      <c r="M58" s="109">
        <v>14.94</v>
      </c>
      <c r="N58" s="29">
        <f>SUM(B58:M58)</f>
        <v>62.39</v>
      </c>
      <c r="P58" s="46" t="s">
        <v>39</v>
      </c>
    </row>
    <row r="59" spans="1:16" ht="12" thickBot="1">
      <c r="A59" s="19" t="s">
        <v>11</v>
      </c>
      <c r="B59" s="30">
        <v>985.3</v>
      </c>
      <c r="C59" s="20">
        <v>647.52</v>
      </c>
      <c r="D59" s="20"/>
      <c r="E59" s="20">
        <v>509.35</v>
      </c>
      <c r="F59" s="31"/>
      <c r="G59" s="30"/>
      <c r="H59" s="31">
        <v>1056.25</v>
      </c>
      <c r="I59" s="20"/>
      <c r="J59" s="20"/>
      <c r="K59" s="20"/>
      <c r="L59" s="20"/>
      <c r="M59" s="35">
        <v>678.72</v>
      </c>
      <c r="N59" s="32">
        <f>SUM(B59:M59)</f>
        <v>3877.1400000000003</v>
      </c>
    </row>
    <row r="60" spans="1:16">
      <c r="A60" s="11" t="s">
        <v>71</v>
      </c>
      <c r="B60" s="25">
        <v>1</v>
      </c>
      <c r="C60" s="25">
        <v>0</v>
      </c>
      <c r="D60" s="25">
        <v>0</v>
      </c>
      <c r="E60" s="25">
        <v>2</v>
      </c>
      <c r="F60" s="25">
        <v>1</v>
      </c>
      <c r="G60" s="25">
        <v>0</v>
      </c>
      <c r="H60" s="25">
        <v>0</v>
      </c>
      <c r="I60" s="25">
        <v>0</v>
      </c>
      <c r="J60" s="25">
        <v>0</v>
      </c>
      <c r="K60" s="25">
        <v>1</v>
      </c>
      <c r="L60" s="25">
        <v>1</v>
      </c>
      <c r="M60" s="26">
        <v>1</v>
      </c>
      <c r="N60" s="27">
        <f>SUM(B60:M60)</f>
        <v>7</v>
      </c>
    </row>
    <row r="61" spans="1:16">
      <c r="A61" s="15" t="s">
        <v>5</v>
      </c>
      <c r="B61" s="106" t="s">
        <v>9</v>
      </c>
      <c r="C61" s="105"/>
      <c r="D61" s="105"/>
      <c r="E61" s="106" t="s">
        <v>72</v>
      </c>
      <c r="F61" s="106" t="s">
        <v>73</v>
      </c>
      <c r="G61" s="106"/>
      <c r="H61" s="106"/>
      <c r="I61" s="106"/>
      <c r="J61" s="105"/>
      <c r="K61" s="106" t="s">
        <v>75</v>
      </c>
      <c r="L61" s="106" t="s">
        <v>76</v>
      </c>
      <c r="M61" s="107" t="s">
        <v>73</v>
      </c>
      <c r="N61" s="29"/>
    </row>
    <row r="62" spans="1:16">
      <c r="A62" s="15" t="s">
        <v>10</v>
      </c>
      <c r="B62" s="111">
        <v>23.09</v>
      </c>
      <c r="C62" s="111"/>
      <c r="D62" s="111"/>
      <c r="E62" s="111">
        <v>44.87</v>
      </c>
      <c r="F62" s="108">
        <v>11.4</v>
      </c>
      <c r="G62" s="103"/>
      <c r="H62" s="108"/>
      <c r="I62" s="111"/>
      <c r="J62" s="111"/>
      <c r="K62" s="111">
        <v>4.8600000000000003</v>
      </c>
      <c r="L62" s="111">
        <v>37.93</v>
      </c>
      <c r="M62" s="109">
        <v>20.100000000000001</v>
      </c>
      <c r="N62" s="29">
        <f>SUM(B62:M62)</f>
        <v>142.25</v>
      </c>
    </row>
    <row r="63" spans="1:16" ht="12" thickBot="1">
      <c r="A63" s="19" t="s">
        <v>11</v>
      </c>
      <c r="B63" s="34">
        <v>1006.49</v>
      </c>
      <c r="C63" s="20"/>
      <c r="D63" s="20"/>
      <c r="E63" s="20">
        <v>2620.5700000000002</v>
      </c>
      <c r="F63" s="31">
        <v>552.9</v>
      </c>
      <c r="G63" s="30"/>
      <c r="H63" s="31"/>
      <c r="I63" s="20"/>
      <c r="J63" s="20"/>
      <c r="K63" s="20">
        <v>246.89</v>
      </c>
      <c r="L63" s="20">
        <v>1871.32</v>
      </c>
      <c r="M63" s="35">
        <v>974.85</v>
      </c>
      <c r="N63" s="32">
        <f>SUM(B63:M63)</f>
        <v>7273.02</v>
      </c>
    </row>
    <row r="64" spans="1:16">
      <c r="A64" s="11" t="s">
        <v>78</v>
      </c>
      <c r="B64" s="25">
        <v>0</v>
      </c>
      <c r="C64" s="25">
        <v>0</v>
      </c>
      <c r="D64" s="25">
        <v>0</v>
      </c>
      <c r="E64" s="25">
        <v>1</v>
      </c>
      <c r="F64" s="25">
        <v>0</v>
      </c>
      <c r="G64" s="25">
        <v>0</v>
      </c>
      <c r="H64" s="25">
        <v>0</v>
      </c>
      <c r="I64" s="25">
        <v>0</v>
      </c>
      <c r="J64" s="25">
        <v>0</v>
      </c>
      <c r="K64" s="25">
        <v>0</v>
      </c>
      <c r="L64" s="25">
        <v>0</v>
      </c>
      <c r="M64" s="26">
        <v>0</v>
      </c>
      <c r="N64" s="27">
        <f>SUM(B64:M64)</f>
        <v>1</v>
      </c>
    </row>
    <row r="65" spans="1:14">
      <c r="A65" s="15" t="s">
        <v>5</v>
      </c>
      <c r="B65" s="106"/>
      <c r="C65" s="105"/>
      <c r="D65" s="105"/>
      <c r="E65" s="107" t="s">
        <v>6</v>
      </c>
      <c r="F65" s="106"/>
      <c r="G65" s="106"/>
      <c r="H65" s="106"/>
      <c r="I65" s="106"/>
      <c r="J65" s="105"/>
      <c r="K65" s="106"/>
      <c r="L65" s="106"/>
      <c r="M65" s="107"/>
      <c r="N65" s="29"/>
    </row>
    <row r="66" spans="1:14">
      <c r="A66" s="15" t="s">
        <v>10</v>
      </c>
      <c r="B66" s="111"/>
      <c r="C66" s="111"/>
      <c r="D66" s="111"/>
      <c r="E66" s="111">
        <v>10.76</v>
      </c>
      <c r="F66" s="108"/>
      <c r="G66" s="103"/>
      <c r="H66" s="108"/>
      <c r="I66" s="111"/>
      <c r="J66" s="111"/>
      <c r="K66" s="111"/>
      <c r="L66" s="111"/>
      <c r="M66" s="109"/>
      <c r="N66" s="29">
        <f>SUM(B66:M66)</f>
        <v>10.76</v>
      </c>
    </row>
    <row r="67" spans="1:14" ht="12" thickBot="1">
      <c r="A67" s="19" t="s">
        <v>11</v>
      </c>
      <c r="B67" s="34"/>
      <c r="C67" s="20"/>
      <c r="D67" s="20"/>
      <c r="E67" s="20">
        <v>546.61</v>
      </c>
      <c r="F67" s="31"/>
      <c r="G67" s="30"/>
      <c r="H67" s="31"/>
      <c r="I67" s="20"/>
      <c r="J67" s="20"/>
      <c r="K67" s="20"/>
      <c r="L67" s="20"/>
      <c r="M67" s="35"/>
      <c r="N67" s="32">
        <f>SUM(B67:M67)</f>
        <v>546.61</v>
      </c>
    </row>
    <row r="68" spans="1:14">
      <c r="A68" s="11" t="s">
        <v>88</v>
      </c>
      <c r="B68" s="25">
        <v>0</v>
      </c>
      <c r="C68" s="25">
        <v>0</v>
      </c>
      <c r="D68" s="25">
        <v>0</v>
      </c>
      <c r="E68" s="25">
        <v>0</v>
      </c>
      <c r="F68" s="25">
        <v>0</v>
      </c>
      <c r="G68" s="25">
        <v>0</v>
      </c>
      <c r="H68" s="25">
        <v>0</v>
      </c>
      <c r="I68" s="25">
        <v>2</v>
      </c>
      <c r="J68" s="25">
        <v>1</v>
      </c>
      <c r="K68" s="25">
        <v>0</v>
      </c>
      <c r="L68" s="25">
        <v>0</v>
      </c>
      <c r="M68" s="26">
        <v>0</v>
      </c>
      <c r="N68" s="27">
        <f>SUM(B68:M68)</f>
        <v>3</v>
      </c>
    </row>
    <row r="69" spans="1:14">
      <c r="A69" s="15" t="s">
        <v>5</v>
      </c>
      <c r="B69" s="106"/>
      <c r="C69" s="105"/>
      <c r="D69" s="105"/>
      <c r="E69" s="107"/>
      <c r="F69" s="106"/>
      <c r="G69" s="106"/>
      <c r="H69" s="106"/>
      <c r="I69" s="106" t="s">
        <v>89</v>
      </c>
      <c r="J69" s="105" t="s">
        <v>55</v>
      </c>
      <c r="K69" s="106"/>
      <c r="L69" s="106"/>
      <c r="M69" s="107"/>
      <c r="N69" s="29"/>
    </row>
    <row r="70" spans="1:14">
      <c r="A70" s="15" t="s">
        <v>10</v>
      </c>
      <c r="B70" s="111"/>
      <c r="C70" s="111"/>
      <c r="D70" s="111"/>
      <c r="E70" s="111"/>
      <c r="F70" s="108"/>
      <c r="G70" s="103"/>
      <c r="H70" s="108"/>
      <c r="I70" s="111">
        <v>47</v>
      </c>
      <c r="J70" s="111">
        <v>16.13</v>
      </c>
      <c r="K70" s="111"/>
      <c r="L70" s="111"/>
      <c r="M70" s="109"/>
      <c r="N70" s="29">
        <f>SUM(B70:M70)</f>
        <v>63.129999999999995</v>
      </c>
    </row>
    <row r="71" spans="1:14" ht="12" thickBot="1">
      <c r="A71" s="19" t="s">
        <v>11</v>
      </c>
      <c r="B71" s="34"/>
      <c r="C71" s="20"/>
      <c r="D71" s="20"/>
      <c r="E71" s="20"/>
      <c r="F71" s="31"/>
      <c r="G71" s="30"/>
      <c r="H71" s="31"/>
      <c r="I71" s="20">
        <v>2423.3200000000002</v>
      </c>
      <c r="J71" s="20">
        <v>2378.46</v>
      </c>
      <c r="K71" s="20"/>
      <c r="L71" s="20"/>
      <c r="M71" s="35"/>
      <c r="N71" s="32">
        <f>SUM(B71:M71)</f>
        <v>4801.7800000000007</v>
      </c>
    </row>
    <row r="72" spans="1:14">
      <c r="A72" s="11" t="s">
        <v>91</v>
      </c>
      <c r="B72" s="25">
        <v>2</v>
      </c>
      <c r="C72" s="25">
        <v>0</v>
      </c>
      <c r="D72" s="25">
        <v>0</v>
      </c>
      <c r="E72" s="25">
        <v>0</v>
      </c>
      <c r="F72" s="25">
        <v>0</v>
      </c>
      <c r="G72" s="25">
        <v>0</v>
      </c>
      <c r="H72" s="25">
        <v>0</v>
      </c>
      <c r="I72" s="25">
        <v>0</v>
      </c>
      <c r="J72" s="25">
        <v>1</v>
      </c>
      <c r="K72" s="25">
        <v>0</v>
      </c>
      <c r="L72" s="25">
        <v>0</v>
      </c>
      <c r="M72" s="26">
        <v>0</v>
      </c>
      <c r="N72" s="27">
        <f>SUM(B72:M72)</f>
        <v>3</v>
      </c>
    </row>
    <row r="73" spans="1:14">
      <c r="A73" s="15" t="s">
        <v>5</v>
      </c>
      <c r="B73" s="106" t="s">
        <v>92</v>
      </c>
      <c r="C73" s="105"/>
      <c r="D73" s="105"/>
      <c r="E73" s="107"/>
      <c r="F73" s="106"/>
      <c r="G73" s="106"/>
      <c r="H73" s="106"/>
      <c r="I73" s="106"/>
      <c r="J73" s="106" t="s">
        <v>6</v>
      </c>
      <c r="K73" s="106" t="s">
        <v>6</v>
      </c>
      <c r="L73" s="106" t="s">
        <v>6</v>
      </c>
      <c r="M73" s="106" t="s">
        <v>6</v>
      </c>
      <c r="N73" s="29"/>
    </row>
    <row r="74" spans="1:14">
      <c r="A74" s="15" t="s">
        <v>10</v>
      </c>
      <c r="B74" s="111">
        <v>44.85</v>
      </c>
      <c r="C74" s="111">
        <v>22.27</v>
      </c>
      <c r="D74" s="111"/>
      <c r="E74" s="111"/>
      <c r="F74" s="108"/>
      <c r="G74" s="103"/>
      <c r="H74" s="108"/>
      <c r="I74" s="111"/>
      <c r="J74" s="111">
        <v>61.6</v>
      </c>
      <c r="K74" s="111">
        <v>70.48</v>
      </c>
      <c r="L74" s="111">
        <v>52.7</v>
      </c>
      <c r="M74" s="109">
        <v>49.2</v>
      </c>
      <c r="N74" s="29">
        <f>SUM(B74:M74)</f>
        <v>301.09999999999997</v>
      </c>
    </row>
    <row r="75" spans="1:14" ht="12" thickBot="1">
      <c r="A75" s="19" t="s">
        <v>11</v>
      </c>
      <c r="B75" s="34">
        <v>2222.5700000000002</v>
      </c>
      <c r="C75" s="20">
        <v>1103.47</v>
      </c>
      <c r="D75" s="20"/>
      <c r="E75" s="20"/>
      <c r="F75" s="31"/>
      <c r="G75" s="30"/>
      <c r="H75" s="31"/>
      <c r="I75" s="20"/>
      <c r="J75" s="20">
        <v>3235.23</v>
      </c>
      <c r="K75" s="20">
        <v>4042.03</v>
      </c>
      <c r="L75" s="20">
        <v>3022.3449999999998</v>
      </c>
      <c r="M75" s="35">
        <v>2821.62</v>
      </c>
      <c r="N75" s="32">
        <f>SUM(B75:M75)</f>
        <v>16447.264999999999</v>
      </c>
    </row>
    <row r="76" spans="1:14">
      <c r="A76" s="11" t="s">
        <v>192</v>
      </c>
      <c r="B76" s="25">
        <v>0</v>
      </c>
      <c r="C76" s="25">
        <v>0</v>
      </c>
      <c r="D76" s="25">
        <v>1</v>
      </c>
      <c r="E76" s="25">
        <v>0</v>
      </c>
      <c r="F76" s="25">
        <v>0</v>
      </c>
      <c r="G76" s="25">
        <v>0</v>
      </c>
      <c r="H76" s="25">
        <v>0</v>
      </c>
      <c r="I76" s="25">
        <v>0</v>
      </c>
      <c r="J76" s="25">
        <v>0</v>
      </c>
      <c r="K76" s="25">
        <v>0</v>
      </c>
      <c r="L76" s="25">
        <v>0</v>
      </c>
      <c r="M76" s="26">
        <v>0</v>
      </c>
      <c r="N76" s="27">
        <f>SUM(B76:M76)</f>
        <v>1</v>
      </c>
    </row>
    <row r="77" spans="1:14">
      <c r="A77" s="15" t="s">
        <v>5</v>
      </c>
      <c r="B77" s="106" t="s">
        <v>6</v>
      </c>
      <c r="C77" s="105"/>
      <c r="D77" s="106" t="s">
        <v>6</v>
      </c>
      <c r="E77" s="106" t="s">
        <v>6</v>
      </c>
      <c r="F77" s="106"/>
      <c r="G77" s="106"/>
      <c r="H77" s="106"/>
      <c r="I77" s="106"/>
      <c r="J77" s="106"/>
      <c r="K77" s="106"/>
      <c r="L77" s="106"/>
      <c r="M77" s="106"/>
      <c r="N77" s="29"/>
    </row>
    <row r="78" spans="1:14">
      <c r="A78" s="15" t="s">
        <v>10</v>
      </c>
      <c r="B78" s="111">
        <v>2.04</v>
      </c>
      <c r="C78" s="111"/>
      <c r="D78" s="111">
        <v>24.03</v>
      </c>
      <c r="E78" s="111">
        <v>3.02</v>
      </c>
      <c r="F78" s="108"/>
      <c r="G78" s="103"/>
      <c r="H78" s="108"/>
      <c r="I78" s="111"/>
      <c r="J78" s="111"/>
      <c r="K78" s="111"/>
      <c r="L78" s="111"/>
      <c r="M78" s="109"/>
      <c r="N78" s="29">
        <f>SUM(B78:M78)</f>
        <v>29.09</v>
      </c>
    </row>
    <row r="79" spans="1:14" ht="12" thickBot="1">
      <c r="A79" s="19" t="s">
        <v>11</v>
      </c>
      <c r="B79" s="34">
        <v>116.99</v>
      </c>
      <c r="C79" s="20"/>
      <c r="D79" s="20">
        <v>2745.19</v>
      </c>
      <c r="E79" s="20">
        <v>345</v>
      </c>
      <c r="F79" s="31"/>
      <c r="G79" s="30"/>
      <c r="H79" s="31"/>
      <c r="I79" s="20"/>
      <c r="J79" s="20"/>
      <c r="K79" s="20"/>
      <c r="L79" s="20"/>
      <c r="M79" s="35"/>
      <c r="N79" s="32">
        <f>SUM(B79:M79)</f>
        <v>3207.18</v>
      </c>
    </row>
    <row r="80" spans="1:14">
      <c r="A80" s="11" t="s">
        <v>224</v>
      </c>
      <c r="B80" s="25">
        <v>0</v>
      </c>
      <c r="C80" s="25">
        <v>0</v>
      </c>
      <c r="D80" s="25">
        <v>0</v>
      </c>
      <c r="E80" s="25">
        <v>0</v>
      </c>
      <c r="F80" s="25">
        <v>1</v>
      </c>
      <c r="G80" s="25">
        <v>0</v>
      </c>
      <c r="H80" s="25">
        <v>1</v>
      </c>
      <c r="I80" s="25">
        <v>1</v>
      </c>
      <c r="J80" s="25">
        <v>0</v>
      </c>
      <c r="K80" s="25">
        <v>3</v>
      </c>
      <c r="L80" s="25">
        <v>1</v>
      </c>
      <c r="M80" s="26">
        <v>0</v>
      </c>
      <c r="N80" s="27">
        <f>SUM(B80:M80)</f>
        <v>7</v>
      </c>
    </row>
    <row r="81" spans="1:14">
      <c r="A81" s="15" t="s">
        <v>5</v>
      </c>
      <c r="B81" s="106" t="s">
        <v>9</v>
      </c>
      <c r="C81" s="105"/>
      <c r="D81" s="106"/>
      <c r="E81" s="106"/>
      <c r="F81" s="121" t="s">
        <v>225</v>
      </c>
      <c r="G81" s="121"/>
      <c r="H81" s="121" t="s">
        <v>227</v>
      </c>
      <c r="I81" s="121" t="s">
        <v>229</v>
      </c>
      <c r="J81" s="121" t="s">
        <v>229</v>
      </c>
      <c r="K81" s="121" t="s">
        <v>231</v>
      </c>
      <c r="L81" s="121" t="s">
        <v>235</v>
      </c>
      <c r="M81" s="121"/>
      <c r="N81" s="29"/>
    </row>
    <row r="82" spans="1:14">
      <c r="A82" s="15" t="s">
        <v>10</v>
      </c>
      <c r="B82" s="111">
        <v>3</v>
      </c>
      <c r="C82" s="111"/>
      <c r="D82" s="111"/>
      <c r="E82" s="111"/>
      <c r="F82" s="123">
        <v>22.84</v>
      </c>
      <c r="G82" s="124"/>
      <c r="H82" s="125">
        <v>2</v>
      </c>
      <c r="I82" s="44">
        <v>200</v>
      </c>
      <c r="J82" s="122">
        <v>80</v>
      </c>
      <c r="K82" s="122">
        <v>128.72</v>
      </c>
      <c r="L82" s="122">
        <v>38.64</v>
      </c>
      <c r="M82" s="126"/>
      <c r="N82" s="29">
        <f>SUM(B82:M82)</f>
        <v>475.20000000000005</v>
      </c>
    </row>
    <row r="83" spans="1:14" ht="12" thickBot="1">
      <c r="A83" s="19" t="s">
        <v>11</v>
      </c>
      <c r="B83" s="34"/>
      <c r="C83" s="20"/>
      <c r="D83" s="20"/>
      <c r="E83" s="20"/>
      <c r="F83" s="78">
        <v>1417.58</v>
      </c>
      <c r="G83" s="30"/>
      <c r="H83" s="31">
        <v>123.04</v>
      </c>
      <c r="I83" s="20">
        <v>27000</v>
      </c>
      <c r="J83" s="20">
        <v>10800</v>
      </c>
      <c r="K83" s="20">
        <v>14424.51</v>
      </c>
      <c r="L83" s="20">
        <v>3125.42</v>
      </c>
      <c r="M83" s="35"/>
      <c r="N83" s="32">
        <f>SUM(B83:M83)</f>
        <v>56890.549999999996</v>
      </c>
    </row>
    <row r="84" spans="1:14">
      <c r="A84" s="42"/>
      <c r="B84" s="43"/>
      <c r="C84" s="63"/>
      <c r="D84" s="63"/>
      <c r="E84" s="63"/>
      <c r="F84" s="64"/>
      <c r="G84" s="65"/>
      <c r="H84" s="64"/>
      <c r="I84" s="63"/>
      <c r="J84" s="63"/>
      <c r="K84" s="63"/>
      <c r="L84" s="63"/>
      <c r="M84" s="44"/>
      <c r="N84" s="66"/>
    </row>
    <row r="85" spans="1:14">
      <c r="A85" s="1" t="s">
        <v>233</v>
      </c>
    </row>
    <row r="86" spans="1:14">
      <c r="A86" s="2" t="s">
        <v>236</v>
      </c>
    </row>
    <row r="87" spans="1:14">
      <c r="A87" s="1" t="s">
        <v>232</v>
      </c>
    </row>
  </sheetData>
  <phoneticPr fontId="0" type="noConversion"/>
  <pageMargins left="0.74803149606299213" right="0.74803149606299213" top="0" bottom="0" header="0.51181102362204722" footer="0.51181102362204722"/>
  <pageSetup paperSize="9" scale="90" orientation="landscape" r:id="rId1"/>
  <headerFooter alignWithMargins="0"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4D911-28B0-4CD3-82FA-3981AAAFD488}">
  <sheetPr codeName="Sheet13"/>
  <dimension ref="A1:B137"/>
  <sheetViews>
    <sheetView topLeftCell="A107" workbookViewId="0">
      <selection activeCell="I29" sqref="I29"/>
    </sheetView>
  </sheetViews>
  <sheetFormatPr defaultRowHeight="12.75"/>
  <cols>
    <col min="1" max="1" width="32.42578125" bestFit="1" customWidth="1"/>
  </cols>
  <sheetData>
    <row r="1" spans="1:2">
      <c r="A1" s="129" t="s">
        <v>292</v>
      </c>
      <c r="B1" s="129" t="s">
        <v>291</v>
      </c>
    </row>
    <row r="2" spans="1:2">
      <c r="A2" s="117" t="s">
        <v>93</v>
      </c>
      <c r="B2" s="118">
        <v>148.94999999999999</v>
      </c>
    </row>
    <row r="3" spans="1:2">
      <c r="A3" s="117" t="s">
        <v>94</v>
      </c>
      <c r="B3" s="118">
        <v>223.33</v>
      </c>
    </row>
    <row r="4" spans="1:2">
      <c r="A4" s="117" t="s">
        <v>95</v>
      </c>
      <c r="B4" s="118"/>
    </row>
    <row r="5" spans="1:2">
      <c r="A5" s="117" t="s">
        <v>96</v>
      </c>
      <c r="B5" s="118"/>
    </row>
    <row r="6" spans="1:2">
      <c r="A6" s="117" t="s">
        <v>97</v>
      </c>
      <c r="B6" s="118">
        <v>55.04</v>
      </c>
    </row>
    <row r="7" spans="1:2">
      <c r="A7" s="117" t="s">
        <v>98</v>
      </c>
      <c r="B7" s="118">
        <v>40.74</v>
      </c>
    </row>
    <row r="8" spans="1:2">
      <c r="A8" s="117" t="s">
        <v>99</v>
      </c>
      <c r="B8" s="118">
        <v>58.68</v>
      </c>
    </row>
    <row r="9" spans="1:2">
      <c r="A9" s="117" t="s">
        <v>100</v>
      </c>
      <c r="B9" s="118">
        <v>70.08</v>
      </c>
    </row>
    <row r="10" spans="1:2">
      <c r="A10" s="117" t="s">
        <v>101</v>
      </c>
      <c r="B10" s="118">
        <v>78.3</v>
      </c>
    </row>
    <row r="11" spans="1:2">
      <c r="A11" s="117" t="s">
        <v>102</v>
      </c>
      <c r="B11" s="118">
        <v>79.3</v>
      </c>
    </row>
    <row r="12" spans="1:2">
      <c r="A12" s="117" t="s">
        <v>103</v>
      </c>
      <c r="B12" s="118">
        <v>84.52</v>
      </c>
    </row>
    <row r="13" spans="1:2">
      <c r="A13" s="117" t="s">
        <v>104</v>
      </c>
      <c r="B13" s="118">
        <v>86.22</v>
      </c>
    </row>
    <row r="14" spans="1:2">
      <c r="A14" s="117" t="s">
        <v>105</v>
      </c>
      <c r="B14" s="118">
        <v>37.1</v>
      </c>
    </row>
    <row r="15" spans="1:2">
      <c r="A15" s="117" t="s">
        <v>106</v>
      </c>
      <c r="B15" s="118">
        <v>43.55</v>
      </c>
    </row>
    <row r="16" spans="1:2">
      <c r="A16" s="117" t="s">
        <v>107</v>
      </c>
      <c r="B16" s="118">
        <v>53.01</v>
      </c>
    </row>
    <row r="17" spans="1:2">
      <c r="A17" s="117" t="s">
        <v>108</v>
      </c>
      <c r="B17" s="118">
        <v>68.47</v>
      </c>
    </row>
    <row r="18" spans="1:2">
      <c r="A18" s="117" t="s">
        <v>109</v>
      </c>
      <c r="B18" s="118">
        <v>70.67</v>
      </c>
    </row>
    <row r="19" spans="1:2">
      <c r="A19" s="117" t="s">
        <v>110</v>
      </c>
      <c r="B19" s="118">
        <v>77.819999999999993</v>
      </c>
    </row>
    <row r="20" spans="1:2">
      <c r="A20" s="117" t="s">
        <v>111</v>
      </c>
      <c r="B20" s="118">
        <v>86.46</v>
      </c>
    </row>
    <row r="21" spans="1:2">
      <c r="A21" s="117" t="s">
        <v>112</v>
      </c>
      <c r="B21" s="118">
        <v>88.62</v>
      </c>
    </row>
    <row r="22" spans="1:2">
      <c r="A22" s="117" t="s">
        <v>113</v>
      </c>
      <c r="B22" s="118">
        <v>9.67</v>
      </c>
    </row>
    <row r="23" spans="1:2">
      <c r="A23" s="117" t="s">
        <v>114</v>
      </c>
      <c r="B23" s="118">
        <v>96.36</v>
      </c>
    </row>
    <row r="24" spans="1:2">
      <c r="A24" s="117" t="s">
        <v>115</v>
      </c>
      <c r="B24" s="118">
        <v>108.27</v>
      </c>
    </row>
    <row r="25" spans="1:2">
      <c r="A25" s="117" t="s">
        <v>116</v>
      </c>
      <c r="B25" s="118">
        <v>118.37</v>
      </c>
    </row>
    <row r="26" spans="1:2">
      <c r="A26" s="117" t="s">
        <v>117</v>
      </c>
      <c r="B26" s="118">
        <v>94.98</v>
      </c>
    </row>
    <row r="27" spans="1:2">
      <c r="A27" s="117" t="s">
        <v>118</v>
      </c>
      <c r="B27" s="118">
        <v>103.25</v>
      </c>
    </row>
    <row r="28" spans="1:2">
      <c r="A28" s="117" t="s">
        <v>119</v>
      </c>
      <c r="B28" s="118">
        <v>0</v>
      </c>
    </row>
    <row r="29" spans="1:2">
      <c r="A29" s="117" t="s">
        <v>120</v>
      </c>
      <c r="B29" s="118">
        <v>129.29</v>
      </c>
    </row>
    <row r="30" spans="1:2">
      <c r="A30" s="117" t="s">
        <v>121</v>
      </c>
      <c r="B30" s="118">
        <v>79.959999999999994</v>
      </c>
    </row>
    <row r="31" spans="1:2">
      <c r="A31" s="117" t="s">
        <v>122</v>
      </c>
      <c r="B31" s="118">
        <v>89.57</v>
      </c>
    </row>
    <row r="32" spans="1:2">
      <c r="A32" s="117" t="s">
        <v>123</v>
      </c>
      <c r="B32" s="118">
        <v>87.06</v>
      </c>
    </row>
    <row r="33" spans="1:2">
      <c r="A33" s="117" t="s">
        <v>124</v>
      </c>
      <c r="B33" s="118">
        <v>96.98</v>
      </c>
    </row>
    <row r="34" spans="1:2">
      <c r="A34" s="117" t="s">
        <v>125</v>
      </c>
      <c r="B34" s="118">
        <v>55.7</v>
      </c>
    </row>
    <row r="35" spans="1:2">
      <c r="A35" s="117" t="s">
        <v>126</v>
      </c>
      <c r="B35" s="118">
        <v>96.73</v>
      </c>
    </row>
    <row r="36" spans="1:2">
      <c r="A36" s="117" t="s">
        <v>127</v>
      </c>
      <c r="B36" s="118">
        <v>193.31</v>
      </c>
    </row>
    <row r="37" spans="1:2">
      <c r="A37" s="117" t="s">
        <v>219</v>
      </c>
      <c r="B37" s="118">
        <v>232.24</v>
      </c>
    </row>
    <row r="38" spans="1:2">
      <c r="A38" s="117" t="s">
        <v>128</v>
      </c>
      <c r="B38" s="118">
        <v>319.14999999999998</v>
      </c>
    </row>
    <row r="39" spans="1:2">
      <c r="A39" s="117" t="s">
        <v>129</v>
      </c>
      <c r="B39" s="118">
        <v>69.73</v>
      </c>
    </row>
    <row r="40" spans="1:2">
      <c r="A40" s="117" t="s">
        <v>130</v>
      </c>
      <c r="B40" s="118">
        <v>96.65</v>
      </c>
    </row>
    <row r="41" spans="1:2">
      <c r="A41" s="117" t="s">
        <v>131</v>
      </c>
      <c r="B41" s="118">
        <v>123.34</v>
      </c>
    </row>
    <row r="42" spans="1:2">
      <c r="A42" s="117" t="s">
        <v>185</v>
      </c>
      <c r="B42" s="118">
        <v>135.46</v>
      </c>
    </row>
    <row r="43" spans="1:2">
      <c r="A43" s="119" t="s">
        <v>220</v>
      </c>
      <c r="B43" s="118">
        <v>0</v>
      </c>
    </row>
    <row r="44" spans="1:2">
      <c r="A44" s="117" t="s">
        <v>132</v>
      </c>
      <c r="B44" s="118">
        <v>326.13</v>
      </c>
    </row>
    <row r="45" spans="1:2">
      <c r="A45" s="117" t="s">
        <v>133</v>
      </c>
      <c r="B45" s="118">
        <v>417.11</v>
      </c>
    </row>
    <row r="46" spans="1:2">
      <c r="A46" s="117" t="s">
        <v>134</v>
      </c>
      <c r="B46" s="118">
        <v>258.29000000000002</v>
      </c>
    </row>
    <row r="47" spans="1:2">
      <c r="A47" s="117" t="s">
        <v>135</v>
      </c>
      <c r="B47" s="118">
        <v>296.25</v>
      </c>
    </row>
    <row r="48" spans="1:2">
      <c r="A48" s="117" t="s">
        <v>136</v>
      </c>
      <c r="B48" s="118">
        <v>393.8</v>
      </c>
    </row>
    <row r="49" spans="1:2">
      <c r="A49" s="117" t="s">
        <v>137</v>
      </c>
      <c r="B49" s="118">
        <v>162.66999999999999</v>
      </c>
    </row>
    <row r="50" spans="1:2">
      <c r="A50" s="116" t="s">
        <v>138</v>
      </c>
      <c r="B50" s="118">
        <v>399.35</v>
      </c>
    </row>
    <row r="51" spans="1:2">
      <c r="A51" s="117" t="s">
        <v>183</v>
      </c>
      <c r="B51" s="118">
        <v>456.88</v>
      </c>
    </row>
    <row r="52" spans="1:2">
      <c r="A52" s="117" t="s">
        <v>139</v>
      </c>
      <c r="B52" s="118">
        <v>576.88</v>
      </c>
    </row>
    <row r="53" spans="1:2">
      <c r="A53" s="117" t="s">
        <v>140</v>
      </c>
      <c r="B53" s="118">
        <v>1164.74</v>
      </c>
    </row>
    <row r="54" spans="1:2">
      <c r="A54" s="117" t="s">
        <v>141</v>
      </c>
      <c r="B54" s="118">
        <v>2003.12</v>
      </c>
    </row>
    <row r="55" spans="1:2">
      <c r="A55" s="117" t="s">
        <v>142</v>
      </c>
      <c r="B55" s="118">
        <v>145.31</v>
      </c>
    </row>
    <row r="56" spans="1:2">
      <c r="A56" s="117" t="s">
        <v>143</v>
      </c>
      <c r="B56" s="118">
        <v>185.72</v>
      </c>
    </row>
    <row r="57" spans="1:2">
      <c r="A57" s="117" t="s">
        <v>144</v>
      </c>
      <c r="B57" s="118">
        <v>104.29</v>
      </c>
    </row>
    <row r="58" spans="1:2">
      <c r="A58" s="117" t="s">
        <v>145</v>
      </c>
      <c r="B58" s="118">
        <v>175.82</v>
      </c>
    </row>
    <row r="59" spans="1:2">
      <c r="A59" s="117" t="s">
        <v>146</v>
      </c>
      <c r="B59" s="118">
        <v>72.650000000000006</v>
      </c>
    </row>
    <row r="60" spans="1:2">
      <c r="A60" s="120" t="s">
        <v>228</v>
      </c>
      <c r="B60" s="118">
        <v>88.66</v>
      </c>
    </row>
    <row r="61" spans="1:2">
      <c r="A61" s="117" t="s">
        <v>147</v>
      </c>
      <c r="B61" s="118">
        <v>31.75</v>
      </c>
    </row>
    <row r="62" spans="1:2">
      <c r="A62" s="119" t="s">
        <v>221</v>
      </c>
      <c r="B62" s="118">
        <v>107.05</v>
      </c>
    </row>
    <row r="63" spans="1:2">
      <c r="A63" s="117" t="s">
        <v>80</v>
      </c>
      <c r="B63" s="118">
        <v>30.61</v>
      </c>
    </row>
    <row r="64" spans="1:2">
      <c r="A64" s="117" t="s">
        <v>79</v>
      </c>
      <c r="B64" s="118">
        <v>112.06</v>
      </c>
    </row>
    <row r="65" spans="1:2" ht="14.25">
      <c r="A65" s="139" t="s">
        <v>194</v>
      </c>
      <c r="B65" s="140">
        <v>47.43</v>
      </c>
    </row>
    <row r="66" spans="1:2" ht="14.25">
      <c r="A66" s="139" t="s">
        <v>195</v>
      </c>
      <c r="B66" s="140">
        <v>56.81</v>
      </c>
    </row>
    <row r="67" spans="1:2" ht="14.25">
      <c r="A67" s="139" t="s">
        <v>196</v>
      </c>
      <c r="B67" s="140">
        <v>33.33</v>
      </c>
    </row>
    <row r="68" spans="1:2" ht="14.25">
      <c r="A68" s="139" t="s">
        <v>190</v>
      </c>
      <c r="B68" s="140">
        <v>15.96</v>
      </c>
    </row>
    <row r="69" spans="1:2" ht="14.25">
      <c r="A69" s="139" t="s">
        <v>197</v>
      </c>
      <c r="B69" s="140">
        <v>24.51</v>
      </c>
    </row>
    <row r="70" spans="1:2" ht="14.25">
      <c r="A70" s="139" t="s">
        <v>198</v>
      </c>
      <c r="B70" s="140">
        <v>16.59</v>
      </c>
    </row>
    <row r="71" spans="1:2" ht="14.25">
      <c r="A71" s="139" t="s">
        <v>199</v>
      </c>
      <c r="B71" s="140">
        <v>25.45</v>
      </c>
    </row>
    <row r="72" spans="1:2" ht="14.25">
      <c r="A72" s="139" t="s">
        <v>200</v>
      </c>
      <c r="B72" s="140">
        <v>15.96</v>
      </c>
    </row>
    <row r="73" spans="1:2" ht="14.25">
      <c r="A73" s="139" t="s">
        <v>201</v>
      </c>
      <c r="B73" s="140">
        <v>24.7</v>
      </c>
    </row>
    <row r="74" spans="1:2" ht="14.25">
      <c r="A74" s="139" t="s">
        <v>202</v>
      </c>
      <c r="B74" s="140">
        <v>16.89</v>
      </c>
    </row>
    <row r="75" spans="1:2" ht="14.25">
      <c r="A75" s="139" t="s">
        <v>203</v>
      </c>
      <c r="B75" s="140">
        <v>18.440000000000001</v>
      </c>
    </row>
    <row r="76" spans="1:2" ht="14.25">
      <c r="A76" s="139" t="s">
        <v>204</v>
      </c>
      <c r="B76" s="140">
        <v>23.61</v>
      </c>
    </row>
    <row r="77" spans="1:2" ht="14.25">
      <c r="A77" s="139" t="s">
        <v>189</v>
      </c>
      <c r="B77" s="140">
        <v>19.14</v>
      </c>
    </row>
    <row r="78" spans="1:2" ht="14.25">
      <c r="A78" s="139" t="s">
        <v>205</v>
      </c>
      <c r="B78" s="140">
        <v>26.49</v>
      </c>
    </row>
    <row r="79" spans="1:2" ht="14.25">
      <c r="A79" s="139" t="s">
        <v>206</v>
      </c>
      <c r="B79" s="140">
        <v>28.95</v>
      </c>
    </row>
    <row r="80" spans="1:2" ht="14.25">
      <c r="A80" s="139" t="s">
        <v>207</v>
      </c>
      <c r="B80" s="140">
        <v>30.15</v>
      </c>
    </row>
    <row r="81" spans="1:2" ht="14.25">
      <c r="A81" s="139" t="s">
        <v>208</v>
      </c>
      <c r="B81" s="140">
        <v>40.72</v>
      </c>
    </row>
    <row r="82" spans="1:2" ht="14.25">
      <c r="A82" s="139" t="s">
        <v>209</v>
      </c>
      <c r="B82" s="140">
        <v>44.53</v>
      </c>
    </row>
    <row r="83" spans="1:2" ht="14.25">
      <c r="A83" s="139" t="s">
        <v>81</v>
      </c>
      <c r="B83" s="140">
        <v>48.39</v>
      </c>
    </row>
    <row r="84" spans="1:2" ht="14.25">
      <c r="A84" s="139" t="s">
        <v>210</v>
      </c>
      <c r="B84" s="140">
        <v>45.14</v>
      </c>
    </row>
    <row r="85" spans="1:2" ht="14.25">
      <c r="A85" s="139" t="s">
        <v>211</v>
      </c>
      <c r="B85" s="140">
        <v>131.66</v>
      </c>
    </row>
    <row r="86" spans="1:2" ht="14.25">
      <c r="A86" s="139" t="s">
        <v>212</v>
      </c>
      <c r="B86" s="140">
        <v>156.5</v>
      </c>
    </row>
    <row r="87" spans="1:2" ht="14.25">
      <c r="A87" s="139" t="s">
        <v>213</v>
      </c>
      <c r="B87" s="140">
        <v>181.24</v>
      </c>
    </row>
    <row r="88" spans="1:2" ht="14.25">
      <c r="A88" s="139" t="s">
        <v>214</v>
      </c>
      <c r="B88" s="140">
        <v>259.12</v>
      </c>
    </row>
    <row r="89" spans="1:2" ht="14.25">
      <c r="A89" s="139" t="s">
        <v>148</v>
      </c>
      <c r="B89" s="140">
        <v>35.869999999999997</v>
      </c>
    </row>
    <row r="90" spans="1:2" ht="14.25">
      <c r="A90" s="139" t="s">
        <v>215</v>
      </c>
      <c r="B90" s="140">
        <v>31.11</v>
      </c>
    </row>
    <row r="91" spans="1:2" ht="14.25">
      <c r="A91" s="139" t="s">
        <v>216</v>
      </c>
      <c r="B91" s="140">
        <v>209.35</v>
      </c>
    </row>
    <row r="92" spans="1:2" ht="14.25">
      <c r="A92" s="139" t="s">
        <v>217</v>
      </c>
      <c r="B92" s="140">
        <v>164.23</v>
      </c>
    </row>
    <row r="93" spans="1:2" ht="14.25">
      <c r="A93" s="139" t="s">
        <v>218</v>
      </c>
      <c r="B93" s="140">
        <v>49.43</v>
      </c>
    </row>
    <row r="94" spans="1:2" ht="14.25">
      <c r="A94" s="139" t="s">
        <v>82</v>
      </c>
      <c r="B94" s="140">
        <v>59.81</v>
      </c>
    </row>
    <row r="95" spans="1:2" ht="14.25">
      <c r="A95" s="139" t="s">
        <v>191</v>
      </c>
      <c r="B95" s="140">
        <v>52.51</v>
      </c>
    </row>
    <row r="96" spans="1:2" ht="14.25">
      <c r="A96" s="139" t="s">
        <v>83</v>
      </c>
      <c r="B96" s="140">
        <v>60.91</v>
      </c>
    </row>
    <row r="97" spans="1:2" ht="14.25">
      <c r="A97" s="139" t="s">
        <v>84</v>
      </c>
      <c r="B97" s="140">
        <v>72.41</v>
      </c>
    </row>
    <row r="98" spans="1:2" ht="14.25">
      <c r="A98" s="139" t="s">
        <v>85</v>
      </c>
      <c r="B98" s="140">
        <v>82.67</v>
      </c>
    </row>
    <row r="99" spans="1:2" ht="14.25">
      <c r="A99" s="139" t="s">
        <v>86</v>
      </c>
      <c r="B99" s="140">
        <v>83.14</v>
      </c>
    </row>
    <row r="100" spans="1:2" ht="14.25">
      <c r="A100" s="36" t="s">
        <v>226</v>
      </c>
      <c r="B100" s="140">
        <v>74.099999999999994</v>
      </c>
    </row>
    <row r="101" spans="1:2">
      <c r="A101" s="139" t="s">
        <v>149</v>
      </c>
      <c r="B101" s="75">
        <v>15.83</v>
      </c>
    </row>
    <row r="102" spans="1:2">
      <c r="A102" s="141" t="s">
        <v>150</v>
      </c>
      <c r="B102" s="75">
        <v>52.49</v>
      </c>
    </row>
    <row r="103" spans="1:2">
      <c r="A103" s="141" t="s">
        <v>151</v>
      </c>
      <c r="B103" s="75">
        <v>58</v>
      </c>
    </row>
    <row r="104" spans="1:2">
      <c r="A104" s="139" t="s">
        <v>152</v>
      </c>
      <c r="B104" s="75">
        <v>23.09</v>
      </c>
    </row>
    <row r="105" spans="1:2">
      <c r="A105" s="139" t="s">
        <v>153</v>
      </c>
      <c r="B105" s="75">
        <v>19.87</v>
      </c>
    </row>
    <row r="106" spans="1:2">
      <c r="A106" s="139" t="s">
        <v>154</v>
      </c>
      <c r="B106" s="75">
        <v>20.86</v>
      </c>
    </row>
    <row r="107" spans="1:2">
      <c r="A107" s="139" t="s">
        <v>155</v>
      </c>
      <c r="B107" s="75">
        <v>52.5</v>
      </c>
    </row>
    <row r="108" spans="1:2">
      <c r="A108" s="139" t="s">
        <v>156</v>
      </c>
      <c r="B108" s="75">
        <v>19.68</v>
      </c>
    </row>
    <row r="109" spans="1:2">
      <c r="A109" s="139" t="s">
        <v>157</v>
      </c>
      <c r="B109" s="75">
        <v>21.69</v>
      </c>
    </row>
    <row r="110" spans="1:2">
      <c r="A110" s="139" t="s">
        <v>158</v>
      </c>
      <c r="B110" s="75">
        <v>21.69</v>
      </c>
    </row>
    <row r="111" spans="1:2">
      <c r="A111" s="139" t="s">
        <v>159</v>
      </c>
      <c r="B111" s="75">
        <v>24.44</v>
      </c>
    </row>
    <row r="112" spans="1:2">
      <c r="A112" s="139" t="s">
        <v>160</v>
      </c>
      <c r="B112" s="75">
        <v>19.899999999999999</v>
      </c>
    </row>
    <row r="113" spans="1:2">
      <c r="A113" s="139" t="s">
        <v>161</v>
      </c>
      <c r="B113" s="75">
        <v>20.190000000000001</v>
      </c>
    </row>
    <row r="114" spans="1:2">
      <c r="A114" s="139" t="s">
        <v>162</v>
      </c>
      <c r="B114" s="75">
        <v>22.86</v>
      </c>
    </row>
    <row r="115" spans="1:2">
      <c r="A115" s="68" t="s">
        <v>163</v>
      </c>
      <c r="B115" s="75">
        <v>79.02</v>
      </c>
    </row>
    <row r="116" spans="1:2">
      <c r="A116" s="68" t="s">
        <v>164</v>
      </c>
      <c r="B116" s="75">
        <v>78</v>
      </c>
    </row>
    <row r="117" spans="1:2">
      <c r="A117" s="68" t="s">
        <v>186</v>
      </c>
      <c r="B117" s="75">
        <v>14</v>
      </c>
    </row>
    <row r="118" spans="1:2">
      <c r="A118" s="68" t="s">
        <v>187</v>
      </c>
      <c r="B118" s="75">
        <v>21.88</v>
      </c>
    </row>
    <row r="119" spans="1:2">
      <c r="A119" s="68" t="s">
        <v>165</v>
      </c>
      <c r="B119" s="75">
        <v>20.29</v>
      </c>
    </row>
    <row r="120" spans="1:2">
      <c r="A120" s="139" t="s">
        <v>184</v>
      </c>
      <c r="B120" s="75">
        <v>12.77</v>
      </c>
    </row>
    <row r="121" spans="1:2">
      <c r="A121" s="68" t="s">
        <v>166</v>
      </c>
      <c r="B121" s="75">
        <v>7.17</v>
      </c>
    </row>
    <row r="122" spans="1:2">
      <c r="A122" s="68" t="s">
        <v>167</v>
      </c>
      <c r="B122" s="75">
        <v>9.35</v>
      </c>
    </row>
    <row r="123" spans="1:2">
      <c r="A123" s="68" t="s">
        <v>168</v>
      </c>
      <c r="B123" s="75">
        <v>12.9</v>
      </c>
    </row>
    <row r="124" spans="1:2">
      <c r="A124" s="68" t="s">
        <v>169</v>
      </c>
      <c r="B124" s="75">
        <v>21.22</v>
      </c>
    </row>
    <row r="125" spans="1:2">
      <c r="A125" s="68" t="s">
        <v>170</v>
      </c>
      <c r="B125" s="75">
        <v>26.71</v>
      </c>
    </row>
    <row r="126" spans="1:2">
      <c r="A126" s="68" t="s">
        <v>171</v>
      </c>
      <c r="B126" s="75">
        <v>32.67</v>
      </c>
    </row>
    <row r="127" spans="1:2">
      <c r="A127" s="68" t="s">
        <v>172</v>
      </c>
      <c r="B127" s="75">
        <v>23.96</v>
      </c>
    </row>
    <row r="128" spans="1:2">
      <c r="A128" s="68" t="s">
        <v>173</v>
      </c>
      <c r="B128" s="75">
        <v>47.44</v>
      </c>
    </row>
    <row r="129" spans="1:2">
      <c r="A129" s="68" t="s">
        <v>174</v>
      </c>
      <c r="B129" s="75">
        <v>32.04</v>
      </c>
    </row>
    <row r="130" spans="1:2">
      <c r="A130" s="68" t="s">
        <v>175</v>
      </c>
      <c r="B130" s="75">
        <v>74.900000000000006</v>
      </c>
    </row>
    <row r="131" spans="1:2">
      <c r="A131" s="68" t="s">
        <v>176</v>
      </c>
      <c r="B131" s="75">
        <v>7.11</v>
      </c>
    </row>
    <row r="132" spans="1:2">
      <c r="A132" s="68" t="s">
        <v>177</v>
      </c>
      <c r="B132" s="75">
        <v>3.21</v>
      </c>
    </row>
    <row r="133" spans="1:2">
      <c r="A133" s="68" t="s">
        <v>178</v>
      </c>
      <c r="B133" s="75">
        <v>9.14</v>
      </c>
    </row>
    <row r="134" spans="1:2">
      <c r="A134" s="68" t="s">
        <v>179</v>
      </c>
      <c r="B134" s="75">
        <v>13.45</v>
      </c>
    </row>
    <row r="135" spans="1:2">
      <c r="A135" s="68" t="s">
        <v>180</v>
      </c>
      <c r="B135" s="75">
        <v>13.45</v>
      </c>
    </row>
    <row r="136" spans="1:2">
      <c r="A136" s="68" t="s">
        <v>181</v>
      </c>
      <c r="B136" s="75">
        <v>35.9</v>
      </c>
    </row>
    <row r="137" spans="1:2">
      <c r="A137" s="68" t="s">
        <v>182</v>
      </c>
      <c r="B137" s="75">
        <v>40.19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7D1C-7E01-4C82-ACA5-48B0213A8E34}">
  <sheetPr>
    <pageSetUpPr fitToPage="1"/>
  </sheetPr>
  <dimension ref="A1:G101"/>
  <sheetViews>
    <sheetView workbookViewId="0">
      <selection activeCell="H15" sqref="H15"/>
    </sheetView>
  </sheetViews>
  <sheetFormatPr defaultRowHeight="12.75"/>
  <cols>
    <col min="1" max="1" width="18.140625" customWidth="1"/>
    <col min="2" max="2" width="24.140625" customWidth="1"/>
    <col min="3" max="3" width="44" customWidth="1"/>
    <col min="4" max="4" width="19.140625" customWidth="1"/>
    <col min="5" max="5" width="26.140625" customWidth="1"/>
    <col min="6" max="6" width="28.7109375" customWidth="1"/>
    <col min="7" max="7" width="18.140625" customWidth="1"/>
    <col min="9" max="9" width="28.85546875" customWidth="1"/>
  </cols>
  <sheetData>
    <row r="1" spans="1:7" ht="25.5" customHeight="1">
      <c r="A1" s="186" t="s">
        <v>299</v>
      </c>
      <c r="B1" s="186"/>
      <c r="C1" s="186"/>
      <c r="D1" s="186"/>
      <c r="E1" s="186"/>
      <c r="F1" s="186"/>
      <c r="G1" s="186"/>
    </row>
    <row r="2" spans="1:7" ht="24" customHeight="1">
      <c r="A2" s="146" t="s">
        <v>345</v>
      </c>
      <c r="B2" s="154"/>
      <c r="C2" s="146" t="s">
        <v>344</v>
      </c>
      <c r="D2" s="190"/>
      <c r="E2" s="191"/>
      <c r="F2" s="148" t="s">
        <v>341</v>
      </c>
      <c r="G2" s="147" t="s">
        <v>343</v>
      </c>
    </row>
    <row r="3" spans="1:7" ht="12" customHeight="1">
      <c r="A3" s="183"/>
      <c r="B3" s="184"/>
      <c r="C3" s="184"/>
      <c r="D3" s="184"/>
      <c r="E3" s="185"/>
      <c r="F3" s="148" t="s">
        <v>342</v>
      </c>
      <c r="G3" s="148">
        <v>0</v>
      </c>
    </row>
    <row r="4" spans="1:7" ht="3.75" customHeight="1">
      <c r="A4" s="188"/>
      <c r="B4" s="188"/>
      <c r="C4" s="188"/>
      <c r="D4" s="188"/>
      <c r="E4" s="188"/>
      <c r="F4" s="188"/>
      <c r="G4" s="188"/>
    </row>
    <row r="5" spans="1:7" ht="22.5" customHeight="1">
      <c r="A5" s="187" t="s">
        <v>307</v>
      </c>
      <c r="B5" s="187"/>
      <c r="C5" s="187"/>
      <c r="D5" s="187"/>
      <c r="E5" s="187"/>
      <c r="F5" s="187"/>
      <c r="G5" s="187"/>
    </row>
    <row r="6" spans="1:7" ht="14.25">
      <c r="A6" s="189" t="s">
        <v>340</v>
      </c>
      <c r="B6" s="149" t="s">
        <v>300</v>
      </c>
      <c r="C6" s="150" t="s">
        <v>314</v>
      </c>
      <c r="D6" s="149" t="s">
        <v>302</v>
      </c>
      <c r="E6" s="150" t="s">
        <v>322</v>
      </c>
      <c r="F6" s="149" t="s">
        <v>308</v>
      </c>
      <c r="G6" s="150" t="s">
        <v>330</v>
      </c>
    </row>
    <row r="7" spans="1:7" ht="14.25">
      <c r="A7" s="189"/>
      <c r="B7" s="149" t="s">
        <v>294</v>
      </c>
      <c r="C7" s="150" t="s">
        <v>315</v>
      </c>
      <c r="D7" s="149" t="s">
        <v>303</v>
      </c>
      <c r="E7" s="150" t="s">
        <v>323</v>
      </c>
      <c r="F7" s="149" t="s">
        <v>42</v>
      </c>
      <c r="G7" s="150" t="s">
        <v>331</v>
      </c>
    </row>
    <row r="8" spans="1:7" ht="14.25">
      <c r="A8" s="189"/>
      <c r="B8" s="149" t="s">
        <v>44</v>
      </c>
      <c r="C8" s="150" t="s">
        <v>316</v>
      </c>
      <c r="D8" s="149" t="s">
        <v>293</v>
      </c>
      <c r="E8" s="150" t="s">
        <v>324</v>
      </c>
      <c r="F8" s="149" t="s">
        <v>74</v>
      </c>
      <c r="G8" s="150" t="s">
        <v>332</v>
      </c>
    </row>
    <row r="9" spans="1:7" ht="14.25">
      <c r="A9" s="189"/>
      <c r="B9" s="149" t="s">
        <v>297</v>
      </c>
      <c r="C9" s="150" t="s">
        <v>317</v>
      </c>
      <c r="D9" s="149" t="s">
        <v>304</v>
      </c>
      <c r="E9" s="150" t="s">
        <v>325</v>
      </c>
      <c r="F9" s="149" t="s">
        <v>298</v>
      </c>
      <c r="G9" s="150" t="s">
        <v>333</v>
      </c>
    </row>
    <row r="10" spans="1:7" ht="14.25">
      <c r="A10" s="189"/>
      <c r="B10" s="149" t="s">
        <v>301</v>
      </c>
      <c r="C10" s="150" t="s">
        <v>318</v>
      </c>
      <c r="D10" s="149" t="s">
        <v>305</v>
      </c>
      <c r="E10" s="150" t="s">
        <v>326</v>
      </c>
      <c r="F10" s="149" t="s">
        <v>309</v>
      </c>
      <c r="G10" s="150" t="s">
        <v>334</v>
      </c>
    </row>
    <row r="11" spans="1:7" ht="14.25">
      <c r="A11" s="189"/>
      <c r="B11" s="149" t="s">
        <v>295</v>
      </c>
      <c r="C11" s="150" t="s">
        <v>319</v>
      </c>
      <c r="D11" s="149" t="s">
        <v>306</v>
      </c>
      <c r="E11" s="150" t="s">
        <v>327</v>
      </c>
      <c r="F11" s="149" t="s">
        <v>310</v>
      </c>
      <c r="G11" s="150" t="s">
        <v>335</v>
      </c>
    </row>
    <row r="12" spans="1:7" ht="14.25">
      <c r="A12" s="189"/>
      <c r="B12" s="149" t="s">
        <v>296</v>
      </c>
      <c r="C12" s="150" t="s">
        <v>320</v>
      </c>
      <c r="D12" s="149" t="s">
        <v>290</v>
      </c>
      <c r="E12" s="150" t="s">
        <v>328</v>
      </c>
      <c r="F12" s="149" t="s">
        <v>297</v>
      </c>
      <c r="G12" s="150" t="s">
        <v>336</v>
      </c>
    </row>
    <row r="13" spans="1:7" ht="14.25">
      <c r="A13" s="189"/>
      <c r="B13" s="149" t="s">
        <v>311</v>
      </c>
      <c r="C13" s="150" t="s">
        <v>321</v>
      </c>
      <c r="D13" s="149" t="s">
        <v>312</v>
      </c>
      <c r="E13" s="150" t="s">
        <v>329</v>
      </c>
      <c r="F13" s="149" t="s">
        <v>313</v>
      </c>
      <c r="G13" s="150" t="s">
        <v>337</v>
      </c>
    </row>
    <row r="14" spans="1:7">
      <c r="A14" s="188"/>
      <c r="B14" s="188"/>
      <c r="C14" s="188"/>
      <c r="D14" s="188"/>
      <c r="E14" s="188"/>
      <c r="F14" s="128" t="s">
        <v>193</v>
      </c>
      <c r="G14" s="145" t="s">
        <v>338</v>
      </c>
    </row>
    <row r="15" spans="1:7" ht="5.25" customHeight="1">
      <c r="A15" s="188"/>
      <c r="B15" s="188"/>
      <c r="C15" s="188"/>
      <c r="D15" s="188"/>
      <c r="E15" s="188"/>
      <c r="F15" s="188"/>
      <c r="G15" s="188"/>
    </row>
    <row r="16" spans="1:7" ht="15.75">
      <c r="A16" s="151" t="s">
        <v>339</v>
      </c>
      <c r="B16" s="151" t="s">
        <v>289</v>
      </c>
      <c r="C16" s="152" t="s">
        <v>43</v>
      </c>
      <c r="D16" s="153" t="s">
        <v>285</v>
      </c>
      <c r="E16" s="151" t="s">
        <v>288</v>
      </c>
      <c r="F16" s="151" t="s">
        <v>287</v>
      </c>
      <c r="G16" s="151" t="s">
        <v>286</v>
      </c>
    </row>
    <row r="17" spans="1:7" ht="26.25" customHeight="1">
      <c r="A17" s="128"/>
      <c r="B17" s="128"/>
      <c r="C17" s="128"/>
      <c r="D17" s="128"/>
      <c r="E17" s="128"/>
      <c r="F17" s="128"/>
      <c r="G17" s="128"/>
    </row>
    <row r="18" spans="1:7" ht="26.25" customHeight="1">
      <c r="A18" s="128"/>
      <c r="B18" s="128"/>
      <c r="C18" s="128"/>
      <c r="D18" s="128"/>
      <c r="E18" s="128"/>
      <c r="F18" s="128"/>
      <c r="G18" s="128"/>
    </row>
    <row r="19" spans="1:7" ht="26.25" customHeight="1">
      <c r="A19" s="128"/>
      <c r="B19" s="128"/>
      <c r="C19" s="128"/>
      <c r="D19" s="128"/>
      <c r="E19" s="128"/>
      <c r="F19" s="128"/>
      <c r="G19" s="128"/>
    </row>
    <row r="20" spans="1:7" ht="26.25" customHeight="1">
      <c r="A20" s="128"/>
      <c r="B20" s="128"/>
      <c r="C20" s="128"/>
      <c r="D20" s="128"/>
      <c r="E20" s="128"/>
      <c r="F20" s="128"/>
      <c r="G20" s="128"/>
    </row>
    <row r="21" spans="1:7" ht="26.25" customHeight="1">
      <c r="A21" s="128"/>
      <c r="B21" s="128"/>
      <c r="C21" s="128"/>
      <c r="D21" s="128"/>
      <c r="E21" s="128"/>
      <c r="F21" s="128"/>
      <c r="G21" s="128"/>
    </row>
    <row r="22" spans="1:7" ht="26.25" customHeight="1">
      <c r="A22" s="128"/>
      <c r="B22" s="128"/>
      <c r="C22" s="128"/>
      <c r="D22" s="128"/>
      <c r="E22" s="128"/>
      <c r="F22" s="128"/>
      <c r="G22" s="128"/>
    </row>
    <row r="23" spans="1:7" ht="26.25" customHeight="1">
      <c r="A23" s="128"/>
      <c r="B23" s="128"/>
      <c r="C23" s="128"/>
      <c r="D23" s="128"/>
      <c r="E23" s="128"/>
      <c r="F23" s="128"/>
      <c r="G23" s="128"/>
    </row>
    <row r="24" spans="1:7" ht="26.25" customHeight="1">
      <c r="A24" s="128"/>
      <c r="B24" s="128"/>
      <c r="C24" s="128"/>
      <c r="D24" s="128"/>
      <c r="E24" s="128"/>
      <c r="F24" s="128"/>
      <c r="G24" s="128"/>
    </row>
    <row r="25" spans="1:7" ht="26.25" customHeight="1">
      <c r="A25" s="128"/>
      <c r="B25" s="128"/>
      <c r="C25" s="128"/>
      <c r="D25" s="128"/>
      <c r="E25" s="128"/>
      <c r="F25" s="128"/>
      <c r="G25" s="128"/>
    </row>
    <row r="26" spans="1:7" ht="26.25" customHeight="1">
      <c r="A26" s="128"/>
      <c r="B26" s="128"/>
      <c r="C26" s="128"/>
      <c r="D26" s="128"/>
      <c r="E26" s="128"/>
      <c r="F26" s="128"/>
      <c r="G26" s="128"/>
    </row>
    <row r="27" spans="1:7" ht="26.25" customHeight="1">
      <c r="A27" s="128"/>
      <c r="B27" s="128"/>
      <c r="C27" s="128"/>
      <c r="D27" s="128"/>
      <c r="E27" s="128"/>
      <c r="F27" s="128"/>
      <c r="G27" s="128"/>
    </row>
    <row r="28" spans="1:7" ht="26.25" customHeight="1">
      <c r="A28" s="128"/>
      <c r="B28" s="128"/>
      <c r="C28" s="128"/>
      <c r="D28" s="128"/>
      <c r="E28" s="128"/>
      <c r="F28" s="128"/>
      <c r="G28" s="128"/>
    </row>
    <row r="29" spans="1:7" ht="26.25" customHeight="1">
      <c r="A29" s="128"/>
      <c r="B29" s="128"/>
      <c r="C29" s="128"/>
      <c r="D29" s="128"/>
      <c r="E29" s="128"/>
      <c r="F29" s="128"/>
      <c r="G29" s="128"/>
    </row>
    <row r="30" spans="1:7" ht="26.25" customHeight="1">
      <c r="A30" s="128"/>
      <c r="B30" s="128"/>
      <c r="C30" s="128"/>
      <c r="D30" s="128"/>
      <c r="E30" s="128"/>
      <c r="F30" s="128"/>
      <c r="G30" s="128"/>
    </row>
    <row r="31" spans="1:7" ht="26.25" customHeight="1">
      <c r="A31" s="128"/>
      <c r="B31" s="128"/>
      <c r="C31" s="128"/>
      <c r="D31" s="128"/>
      <c r="E31" s="128"/>
      <c r="F31" s="128"/>
      <c r="G31" s="128"/>
    </row>
    <row r="32" spans="1:7" ht="26.25" customHeight="1">
      <c r="A32" s="128"/>
      <c r="B32" s="128"/>
      <c r="C32" s="128"/>
      <c r="D32" s="128"/>
      <c r="E32" s="128"/>
      <c r="F32" s="128"/>
      <c r="G32" s="128"/>
    </row>
    <row r="33" spans="1:7" ht="26.25" customHeight="1">
      <c r="A33" s="128"/>
      <c r="B33" s="128"/>
      <c r="C33" s="128"/>
      <c r="D33" s="128"/>
      <c r="E33" s="128"/>
      <c r="F33" s="128"/>
      <c r="G33" s="128"/>
    </row>
    <row r="34" spans="1:7" ht="26.25" customHeight="1">
      <c r="A34" s="128"/>
      <c r="B34" s="128"/>
      <c r="C34" s="128"/>
      <c r="D34" s="128"/>
      <c r="E34" s="128"/>
      <c r="F34" s="128"/>
      <c r="G34" s="128"/>
    </row>
    <row r="35" spans="1:7" ht="26.25" customHeight="1">
      <c r="A35" s="128"/>
      <c r="B35" s="128"/>
      <c r="C35" s="128"/>
      <c r="D35" s="128"/>
      <c r="E35" s="128"/>
      <c r="F35" s="128"/>
      <c r="G35" s="128"/>
    </row>
    <row r="36" spans="1:7" ht="26.25" customHeight="1">
      <c r="A36" s="128"/>
      <c r="B36" s="128"/>
      <c r="C36" s="128"/>
      <c r="D36" s="128"/>
      <c r="E36" s="128"/>
      <c r="F36" s="128"/>
      <c r="G36" s="128"/>
    </row>
    <row r="37" spans="1:7" ht="26.25" customHeight="1">
      <c r="A37" s="128"/>
      <c r="B37" s="128"/>
      <c r="C37" s="128"/>
      <c r="D37" s="128"/>
      <c r="E37" s="128"/>
      <c r="F37" s="128"/>
      <c r="G37" s="128"/>
    </row>
    <row r="38" spans="1:7" ht="26.25" customHeight="1">
      <c r="A38" s="128"/>
      <c r="B38" s="128"/>
      <c r="C38" s="128"/>
      <c r="D38" s="128"/>
      <c r="E38" s="128"/>
      <c r="F38" s="128"/>
      <c r="G38" s="128"/>
    </row>
    <row r="39" spans="1:7" ht="26.25" customHeight="1">
      <c r="A39" s="128"/>
      <c r="B39" s="128"/>
      <c r="C39" s="128"/>
      <c r="D39" s="128"/>
      <c r="E39" s="128"/>
      <c r="F39" s="128"/>
      <c r="G39" s="128"/>
    </row>
    <row r="40" spans="1:7" ht="26.25" customHeight="1">
      <c r="A40" s="128"/>
      <c r="B40" s="128"/>
      <c r="C40" s="128"/>
      <c r="D40" s="128"/>
      <c r="E40" s="128"/>
      <c r="F40" s="128"/>
      <c r="G40" s="128"/>
    </row>
    <row r="41" spans="1:7" ht="26.25" customHeight="1">
      <c r="A41" s="128"/>
      <c r="B41" s="128"/>
      <c r="C41" s="128"/>
      <c r="D41" s="128"/>
      <c r="E41" s="128"/>
      <c r="F41" s="128"/>
      <c r="G41" s="128"/>
    </row>
    <row r="42" spans="1:7" ht="26.25" customHeight="1">
      <c r="A42" s="128"/>
      <c r="B42" s="128"/>
      <c r="C42" s="128"/>
      <c r="D42" s="128"/>
      <c r="E42" s="128"/>
      <c r="F42" s="128"/>
      <c r="G42" s="128"/>
    </row>
    <row r="43" spans="1:7" ht="26.25" customHeight="1">
      <c r="A43" s="128"/>
      <c r="B43" s="128"/>
      <c r="C43" s="128"/>
      <c r="D43" s="128"/>
      <c r="E43" s="128"/>
      <c r="F43" s="128"/>
      <c r="G43" s="128"/>
    </row>
    <row r="44" spans="1:7" ht="26.25" customHeight="1">
      <c r="A44" s="128"/>
      <c r="B44" s="128"/>
      <c r="C44" s="128"/>
      <c r="D44" s="128"/>
      <c r="E44" s="128"/>
      <c r="F44" s="128"/>
      <c r="G44" s="128"/>
    </row>
    <row r="45" spans="1:7" ht="26.25" customHeight="1">
      <c r="A45" s="128"/>
      <c r="B45" s="128"/>
      <c r="C45" s="128"/>
      <c r="D45" s="128"/>
      <c r="E45" s="128"/>
      <c r="F45" s="128"/>
      <c r="G45" s="128"/>
    </row>
    <row r="46" spans="1:7" ht="26.25" customHeight="1">
      <c r="A46" s="128"/>
      <c r="B46" s="128"/>
      <c r="C46" s="128"/>
      <c r="D46" s="128"/>
      <c r="E46" s="128"/>
      <c r="F46" s="128"/>
      <c r="G46" s="128"/>
    </row>
    <row r="47" spans="1:7" ht="26.25" customHeight="1">
      <c r="A47" s="128"/>
      <c r="B47" s="128"/>
      <c r="C47" s="128"/>
      <c r="D47" s="128"/>
      <c r="E47" s="128"/>
      <c r="F47" s="128"/>
      <c r="G47" s="128"/>
    </row>
    <row r="48" spans="1:7" ht="26.25" customHeight="1">
      <c r="A48" s="128"/>
      <c r="B48" s="128"/>
      <c r="C48" s="128"/>
      <c r="D48" s="128"/>
      <c r="E48" s="128"/>
      <c r="F48" s="128"/>
      <c r="G48" s="128"/>
    </row>
    <row r="49" spans="1:7" ht="26.25" customHeight="1">
      <c r="A49" s="128"/>
      <c r="B49" s="128"/>
      <c r="C49" s="128"/>
      <c r="D49" s="128"/>
      <c r="E49" s="128"/>
      <c r="F49" s="128"/>
      <c r="G49" s="128"/>
    </row>
    <row r="50" spans="1:7" ht="26.25" customHeight="1">
      <c r="A50" s="128"/>
      <c r="B50" s="128"/>
      <c r="C50" s="128"/>
      <c r="D50" s="128"/>
      <c r="E50" s="128"/>
      <c r="F50" s="128"/>
      <c r="G50" s="128"/>
    </row>
    <row r="51" spans="1:7" ht="26.25" customHeight="1">
      <c r="A51" s="128"/>
      <c r="B51" s="128"/>
      <c r="C51" s="128"/>
      <c r="D51" s="128"/>
      <c r="E51" s="128"/>
      <c r="F51" s="128"/>
      <c r="G51" s="128"/>
    </row>
    <row r="52" spans="1:7" ht="26.25" customHeight="1">
      <c r="A52" s="128"/>
      <c r="B52" s="128"/>
      <c r="C52" s="128"/>
      <c r="D52" s="128"/>
      <c r="E52" s="128"/>
      <c r="F52" s="128"/>
      <c r="G52" s="128"/>
    </row>
    <row r="53" spans="1:7" ht="26.25" customHeight="1">
      <c r="A53" s="128"/>
      <c r="B53" s="128"/>
      <c r="C53" s="128"/>
      <c r="D53" s="128"/>
      <c r="E53" s="128"/>
      <c r="F53" s="128"/>
      <c r="G53" s="128"/>
    </row>
    <row r="54" spans="1:7" ht="26.25" customHeight="1">
      <c r="A54" s="128"/>
      <c r="B54" s="128"/>
      <c r="C54" s="128"/>
      <c r="D54" s="128"/>
      <c r="E54" s="128"/>
      <c r="F54" s="128"/>
      <c r="G54" s="128"/>
    </row>
    <row r="55" spans="1:7" ht="26.25" customHeight="1">
      <c r="A55" s="128"/>
      <c r="B55" s="128"/>
      <c r="C55" s="128"/>
      <c r="D55" s="128"/>
      <c r="E55" s="128"/>
      <c r="F55" s="128"/>
      <c r="G55" s="128"/>
    </row>
    <row r="56" spans="1:7" ht="26.25" customHeight="1">
      <c r="A56" s="128"/>
      <c r="B56" s="128"/>
      <c r="C56" s="128"/>
      <c r="D56" s="128"/>
      <c r="E56" s="128"/>
      <c r="F56" s="128"/>
      <c r="G56" s="128"/>
    </row>
    <row r="57" spans="1:7" ht="26.25" customHeight="1">
      <c r="A57" s="128"/>
      <c r="B57" s="128"/>
      <c r="C57" s="128"/>
      <c r="D57" s="128"/>
      <c r="E57" s="128"/>
      <c r="F57" s="128"/>
      <c r="G57" s="128"/>
    </row>
    <row r="58" spans="1:7" ht="26.25" customHeight="1">
      <c r="A58" s="128"/>
      <c r="B58" s="128"/>
      <c r="C58" s="128"/>
      <c r="D58" s="128"/>
      <c r="E58" s="128"/>
      <c r="F58" s="128"/>
      <c r="G58" s="128"/>
    </row>
    <row r="59" spans="1:7" ht="26.25" customHeight="1">
      <c r="A59" s="128"/>
      <c r="B59" s="128"/>
      <c r="C59" s="128"/>
      <c r="D59" s="128"/>
      <c r="E59" s="128"/>
      <c r="F59" s="128"/>
      <c r="G59" s="128"/>
    </row>
    <row r="60" spans="1:7" ht="26.25" customHeight="1">
      <c r="A60" s="128"/>
      <c r="B60" s="128"/>
      <c r="C60" s="128"/>
      <c r="D60" s="128"/>
      <c r="E60" s="128"/>
      <c r="F60" s="128"/>
      <c r="G60" s="128"/>
    </row>
    <row r="61" spans="1:7" ht="26.25" customHeight="1">
      <c r="A61" s="128"/>
      <c r="B61" s="128"/>
      <c r="C61" s="128"/>
      <c r="D61" s="128"/>
      <c r="E61" s="128"/>
      <c r="F61" s="128"/>
      <c r="G61" s="128"/>
    </row>
    <row r="62" spans="1:7" ht="26.25" customHeight="1">
      <c r="A62" s="128"/>
      <c r="B62" s="128"/>
      <c r="C62" s="128"/>
      <c r="D62" s="128"/>
      <c r="E62" s="128"/>
      <c r="F62" s="128"/>
      <c r="G62" s="128"/>
    </row>
    <row r="63" spans="1:7" ht="26.25" customHeight="1">
      <c r="A63" s="128"/>
      <c r="B63" s="128"/>
      <c r="C63" s="128"/>
      <c r="D63" s="128"/>
      <c r="E63" s="128"/>
      <c r="F63" s="128"/>
      <c r="G63" s="128"/>
    </row>
    <row r="64" spans="1:7" ht="26.25" customHeight="1">
      <c r="A64" s="128"/>
      <c r="B64" s="128"/>
      <c r="C64" s="128"/>
      <c r="D64" s="128"/>
      <c r="E64" s="128"/>
      <c r="F64" s="128"/>
      <c r="G64" s="128"/>
    </row>
    <row r="65" spans="1:7" ht="26.25" customHeight="1">
      <c r="A65" s="128"/>
      <c r="B65" s="128"/>
      <c r="C65" s="128"/>
      <c r="D65" s="128"/>
      <c r="E65" s="128"/>
      <c r="F65" s="128"/>
      <c r="G65" s="128"/>
    </row>
    <row r="66" spans="1:7" ht="26.25" customHeight="1">
      <c r="A66" s="128"/>
      <c r="B66" s="128"/>
      <c r="C66" s="128"/>
      <c r="D66" s="128"/>
      <c r="E66" s="128"/>
      <c r="F66" s="128"/>
      <c r="G66" s="128"/>
    </row>
    <row r="67" spans="1:7" ht="26.25" customHeight="1">
      <c r="A67" s="128"/>
      <c r="B67" s="128"/>
      <c r="C67" s="128"/>
      <c r="D67" s="128"/>
      <c r="E67" s="128"/>
      <c r="F67" s="128"/>
      <c r="G67" s="128"/>
    </row>
    <row r="68" spans="1:7" ht="26.25" customHeight="1">
      <c r="A68" s="128"/>
      <c r="B68" s="128"/>
      <c r="C68" s="128"/>
      <c r="D68" s="128"/>
      <c r="E68" s="128"/>
      <c r="F68" s="128"/>
      <c r="G68" s="128"/>
    </row>
    <row r="69" spans="1:7" ht="26.25" customHeight="1">
      <c r="A69" s="128"/>
      <c r="B69" s="128"/>
      <c r="C69" s="128"/>
      <c r="D69" s="128"/>
      <c r="E69" s="128"/>
      <c r="F69" s="128"/>
      <c r="G69" s="128"/>
    </row>
    <row r="70" spans="1:7" ht="26.25" customHeight="1">
      <c r="A70" s="128"/>
      <c r="B70" s="128"/>
      <c r="C70" s="128"/>
      <c r="D70" s="128"/>
      <c r="E70" s="128"/>
      <c r="F70" s="128"/>
      <c r="G70" s="128"/>
    </row>
    <row r="71" spans="1:7" ht="26.25" customHeight="1">
      <c r="A71" s="128"/>
      <c r="B71" s="128"/>
      <c r="C71" s="128"/>
      <c r="D71" s="128"/>
      <c r="E71" s="128"/>
      <c r="F71" s="128"/>
      <c r="G71" s="128"/>
    </row>
    <row r="72" spans="1:7" ht="26.25" customHeight="1">
      <c r="A72" s="128"/>
      <c r="B72" s="128"/>
      <c r="C72" s="128"/>
      <c r="D72" s="128"/>
      <c r="E72" s="128"/>
      <c r="F72" s="128"/>
      <c r="G72" s="128"/>
    </row>
    <row r="73" spans="1:7" ht="26.25" customHeight="1">
      <c r="A73" s="128"/>
      <c r="B73" s="128"/>
      <c r="C73" s="128"/>
      <c r="D73" s="128"/>
      <c r="E73" s="128"/>
      <c r="F73" s="128"/>
      <c r="G73" s="128"/>
    </row>
    <row r="74" spans="1:7" ht="26.25" customHeight="1">
      <c r="A74" s="128"/>
      <c r="B74" s="128"/>
      <c r="C74" s="128"/>
      <c r="D74" s="128"/>
      <c r="E74" s="128"/>
      <c r="F74" s="128"/>
      <c r="G74" s="128"/>
    </row>
    <row r="75" spans="1:7" ht="26.25" customHeight="1">
      <c r="A75" s="128"/>
      <c r="B75" s="128"/>
      <c r="C75" s="128"/>
      <c r="D75" s="128"/>
      <c r="E75" s="128"/>
      <c r="F75" s="128"/>
      <c r="G75" s="128"/>
    </row>
    <row r="76" spans="1:7" ht="26.25" customHeight="1">
      <c r="A76" s="128"/>
      <c r="B76" s="128"/>
      <c r="C76" s="128"/>
      <c r="D76" s="128"/>
      <c r="E76" s="128"/>
      <c r="F76" s="128"/>
      <c r="G76" s="128"/>
    </row>
    <row r="77" spans="1:7" ht="26.25" customHeight="1">
      <c r="A77" s="128"/>
      <c r="B77" s="128"/>
      <c r="C77" s="128"/>
      <c r="D77" s="128"/>
      <c r="E77" s="128"/>
      <c r="F77" s="128"/>
      <c r="G77" s="128"/>
    </row>
    <row r="78" spans="1:7" ht="26.25" customHeight="1">
      <c r="A78" s="128"/>
      <c r="B78" s="128"/>
      <c r="C78" s="128"/>
      <c r="D78" s="128"/>
      <c r="E78" s="128"/>
      <c r="F78" s="128"/>
      <c r="G78" s="128"/>
    </row>
    <row r="79" spans="1:7" ht="26.25" customHeight="1">
      <c r="A79" s="128"/>
      <c r="B79" s="128"/>
      <c r="C79" s="128"/>
      <c r="D79" s="128"/>
      <c r="E79" s="128"/>
      <c r="F79" s="128"/>
      <c r="G79" s="128"/>
    </row>
    <row r="80" spans="1:7" ht="26.25" customHeight="1">
      <c r="A80" s="128"/>
      <c r="B80" s="128"/>
      <c r="C80" s="128"/>
      <c r="D80" s="128"/>
      <c r="E80" s="128"/>
      <c r="F80" s="128"/>
      <c r="G80" s="128"/>
    </row>
    <row r="81" spans="1:7" ht="26.25" customHeight="1">
      <c r="A81" s="128"/>
      <c r="B81" s="128"/>
      <c r="C81" s="128"/>
      <c r="D81" s="128"/>
      <c r="E81" s="128"/>
      <c r="F81" s="128"/>
      <c r="G81" s="128"/>
    </row>
    <row r="82" spans="1:7" ht="26.25" customHeight="1">
      <c r="A82" s="128"/>
      <c r="B82" s="128"/>
      <c r="C82" s="128"/>
      <c r="D82" s="128"/>
      <c r="E82" s="128"/>
      <c r="F82" s="128"/>
      <c r="G82" s="128"/>
    </row>
    <row r="83" spans="1:7" ht="26.25" customHeight="1">
      <c r="A83" s="128"/>
      <c r="B83" s="128"/>
      <c r="C83" s="128"/>
      <c r="D83" s="128"/>
      <c r="E83" s="128"/>
      <c r="F83" s="128"/>
      <c r="G83" s="128"/>
    </row>
    <row r="84" spans="1:7" ht="26.25" customHeight="1">
      <c r="A84" s="128"/>
      <c r="B84" s="128"/>
      <c r="C84" s="128"/>
      <c r="D84" s="128"/>
      <c r="E84" s="128"/>
      <c r="F84" s="128"/>
      <c r="G84" s="128"/>
    </row>
    <row r="85" spans="1:7" ht="15" customHeight="1">
      <c r="A85" s="128"/>
      <c r="B85" s="128"/>
      <c r="C85" s="128"/>
      <c r="D85" s="128"/>
      <c r="E85" s="128"/>
      <c r="F85" s="128"/>
      <c r="G85" s="128"/>
    </row>
    <row r="86" spans="1:7" ht="15" customHeight="1">
      <c r="A86" s="128"/>
      <c r="B86" s="128"/>
      <c r="C86" s="128"/>
      <c r="D86" s="128"/>
      <c r="E86" s="128"/>
      <c r="F86" s="128"/>
      <c r="G86" s="128"/>
    </row>
    <row r="87" spans="1:7" ht="15" customHeight="1">
      <c r="A87" s="128"/>
      <c r="B87" s="128"/>
      <c r="C87" s="128"/>
      <c r="D87" s="128"/>
      <c r="E87" s="128"/>
      <c r="F87" s="128"/>
      <c r="G87" s="128"/>
    </row>
    <row r="88" spans="1:7" ht="15" customHeight="1">
      <c r="A88" s="128"/>
      <c r="B88" s="128"/>
      <c r="C88" s="128"/>
      <c r="D88" s="128"/>
      <c r="E88" s="128"/>
      <c r="F88" s="128"/>
      <c r="G88" s="128"/>
    </row>
    <row r="89" spans="1:7" ht="15" customHeight="1">
      <c r="A89" s="128"/>
      <c r="B89" s="128"/>
      <c r="C89" s="128"/>
      <c r="D89" s="128"/>
      <c r="E89" s="128"/>
      <c r="F89" s="128"/>
      <c r="G89" s="128"/>
    </row>
    <row r="90" spans="1:7" ht="15" customHeight="1">
      <c r="A90" s="128"/>
      <c r="B90" s="128"/>
      <c r="C90" s="128"/>
      <c r="D90" s="128"/>
      <c r="E90" s="128"/>
      <c r="F90" s="128"/>
      <c r="G90" s="128"/>
    </row>
    <row r="91" spans="1:7" ht="15" customHeight="1">
      <c r="A91" s="128"/>
      <c r="B91" s="128"/>
      <c r="C91" s="128"/>
      <c r="D91" s="128"/>
      <c r="E91" s="128"/>
      <c r="F91" s="128"/>
      <c r="G91" s="128"/>
    </row>
    <row r="92" spans="1:7" ht="15" customHeight="1">
      <c r="A92" s="128"/>
      <c r="B92" s="128"/>
      <c r="C92" s="128"/>
      <c r="D92" s="128"/>
      <c r="E92" s="128"/>
      <c r="F92" s="128"/>
      <c r="G92" s="128"/>
    </row>
    <row r="93" spans="1:7" ht="15" customHeight="1">
      <c r="A93" s="128"/>
      <c r="B93" s="128"/>
      <c r="C93" s="128"/>
      <c r="D93" s="128"/>
      <c r="E93" s="128"/>
      <c r="F93" s="128"/>
      <c r="G93" s="128"/>
    </row>
    <row r="94" spans="1:7" ht="15" customHeight="1">
      <c r="A94" s="128"/>
      <c r="B94" s="128"/>
      <c r="C94" s="128"/>
      <c r="D94" s="128"/>
      <c r="E94" s="128"/>
      <c r="F94" s="128"/>
      <c r="G94" s="128"/>
    </row>
    <row r="95" spans="1:7" ht="15" customHeight="1">
      <c r="A95" s="128"/>
      <c r="B95" s="128"/>
      <c r="C95" s="128"/>
      <c r="D95" s="128"/>
      <c r="E95" s="128"/>
      <c r="F95" s="128"/>
      <c r="G95" s="128"/>
    </row>
    <row r="96" spans="1:7" ht="15" customHeight="1">
      <c r="A96" s="128"/>
      <c r="B96" s="128"/>
      <c r="C96" s="128"/>
      <c r="D96" s="128"/>
      <c r="E96" s="128"/>
      <c r="F96" s="128"/>
      <c r="G96" s="128"/>
    </row>
    <row r="97" spans="1:7" ht="15" customHeight="1">
      <c r="A97" s="128"/>
      <c r="B97" s="128"/>
      <c r="C97" s="128"/>
      <c r="D97" s="128"/>
      <c r="E97" s="128"/>
      <c r="F97" s="128"/>
      <c r="G97" s="128"/>
    </row>
    <row r="98" spans="1:7" ht="15" customHeight="1">
      <c r="A98" s="128"/>
      <c r="B98" s="128"/>
      <c r="C98" s="128"/>
      <c r="D98" s="128"/>
      <c r="E98" s="128"/>
      <c r="F98" s="128"/>
      <c r="G98" s="128"/>
    </row>
    <row r="99" spans="1:7" ht="15" customHeight="1">
      <c r="A99" s="128"/>
      <c r="B99" s="128"/>
      <c r="C99" s="128"/>
      <c r="D99" s="128"/>
      <c r="E99" s="128"/>
      <c r="F99" s="128"/>
      <c r="G99" s="128"/>
    </row>
    <row r="100" spans="1:7" ht="15" customHeight="1">
      <c r="A100" s="128"/>
      <c r="B100" s="128"/>
      <c r="C100" s="128"/>
      <c r="D100" s="128"/>
      <c r="E100" s="128"/>
      <c r="F100" s="128"/>
      <c r="G100" s="128"/>
    </row>
    <row r="101" spans="1:7" ht="15" customHeight="1">
      <c r="A101" s="128"/>
      <c r="B101" s="128"/>
      <c r="C101" s="128"/>
      <c r="D101" s="128"/>
      <c r="E101" s="128"/>
      <c r="F101" s="128"/>
      <c r="G101" s="128"/>
    </row>
  </sheetData>
  <mergeCells count="8">
    <mergeCell ref="A3:E3"/>
    <mergeCell ref="A1:G1"/>
    <mergeCell ref="A5:G5"/>
    <mergeCell ref="A4:G4"/>
    <mergeCell ref="A15:G15"/>
    <mergeCell ref="A14:E14"/>
    <mergeCell ref="A6:A13"/>
    <mergeCell ref="D2:E2"/>
  </mergeCells>
  <phoneticPr fontId="6" type="noConversion"/>
  <pageMargins left="0.7" right="0.7" top="0.75" bottom="0.75" header="0.3" footer="0.3"/>
  <pageSetup scale="51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730C3-C5E0-42E1-BADA-307521041F3A}">
  <dimension ref="A1:B6"/>
  <sheetViews>
    <sheetView workbookViewId="0">
      <selection activeCell="D29" sqref="D29"/>
    </sheetView>
  </sheetViews>
  <sheetFormatPr defaultRowHeight="12.75"/>
  <cols>
    <col min="1" max="1" width="13.85546875" bestFit="1" customWidth="1"/>
    <col min="2" max="2" width="12.5703125" bestFit="1" customWidth="1"/>
    <col min="3" max="3" width="14.42578125" bestFit="1" customWidth="1"/>
    <col min="4" max="4" width="11.7109375" bestFit="1" customWidth="1"/>
  </cols>
  <sheetData>
    <row r="1" spans="1:2">
      <c r="A1" s="135" t="s">
        <v>188</v>
      </c>
      <c r="B1" s="136">
        <v>2025</v>
      </c>
    </row>
    <row r="3" spans="1:2">
      <c r="A3" s="135" t="s">
        <v>278</v>
      </c>
      <c r="B3" t="s">
        <v>280</v>
      </c>
    </row>
    <row r="4" spans="1:2">
      <c r="A4" s="136" t="s">
        <v>352</v>
      </c>
      <c r="B4" s="137">
        <v>2</v>
      </c>
    </row>
    <row r="5" spans="1:2">
      <c r="A5" s="136" t="s">
        <v>348</v>
      </c>
      <c r="B5" s="137">
        <v>0</v>
      </c>
    </row>
    <row r="6" spans="1:2">
      <c r="A6" s="136" t="s">
        <v>279</v>
      </c>
      <c r="B6" s="137">
        <v>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CD561389-1B62-4246-A6C6-E72E7AEAEDFC}">
  <ds:schemaRefs/>
</ds:datastoreItem>
</file>

<file path=customXml/itemProps2.xml><?xml version="1.0" encoding="utf-8"?>
<ds:datastoreItem xmlns:ds="http://schemas.openxmlformats.org/officeDocument/2006/customXml" ds:itemID="{E2AA6244-B673-4F32-A4E3-7F164DF153C0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B89107E-90DC-43FE-B32B-D0DE9E3A09B4}">
  <ds:schemaRefs/>
</ds:datastoreItem>
</file>

<file path=customXml/itemProps4.xml><?xml version="1.0" encoding="utf-8"?>
<ds:datastoreItem xmlns:ds="http://schemas.openxmlformats.org/officeDocument/2006/customXml" ds:itemID="{58E59BAF-00E0-4863-8774-F48B031EDAB4}">
  <ds:schemaRefs/>
</ds:datastoreItem>
</file>

<file path=customXml/itemProps5.xml><?xml version="1.0" encoding="utf-8"?>
<ds:datastoreItem xmlns:ds="http://schemas.openxmlformats.org/officeDocument/2006/customXml" ds:itemID="{3F50D9DC-C610-4F0A-A2C0-4EB41724F6B3}">
  <ds:schemaRefs/>
</ds:datastoreItem>
</file>

<file path=customXml/itemProps6.xml><?xml version="1.0" encoding="utf-8"?>
<ds:datastoreItem xmlns:ds="http://schemas.openxmlformats.org/officeDocument/2006/customXml" ds:itemID="{A4DA0EC5-01BA-47C5-A410-26BA5FEE66C7}">
  <ds:schemaRefs/>
</ds:datastoreItem>
</file>

<file path=customXml/itemProps7.xml><?xml version="1.0" encoding="utf-8"?>
<ds:datastoreItem xmlns:ds="http://schemas.openxmlformats.org/officeDocument/2006/customXml" ds:itemID="{ACBEED1E-9DA2-4387-A509-1CBFC5375167}">
  <ds:schemaRefs/>
</ds:datastoreItem>
</file>

<file path=customXml/itemProps8.xml><?xml version="1.0" encoding="utf-8"?>
<ds:datastoreItem xmlns:ds="http://schemas.openxmlformats.org/officeDocument/2006/customXml" ds:itemID="{89E36F92-6BE4-40B5-B7BC-EC35571550F8}">
  <ds:schemaRefs/>
</ds:datastoreItem>
</file>

<file path=customXml/itemProps9.xml><?xml version="1.0" encoding="utf-8"?>
<ds:datastoreItem xmlns:ds="http://schemas.openxmlformats.org/officeDocument/2006/customXml" ds:itemID="{7F1712A6-BE32-4373-AAEB-339524180BC8}">
  <ds:schemaRefs/>
</ds:datastoreItem>
</file>

<file path=customXml/itemProps10.xml><?xml version="1.0" encoding="utf-8"?>
<ds:datastoreItem xmlns:ds="http://schemas.openxmlformats.org/officeDocument/2006/customXml" ds:itemID="{30D42496-A0A8-4B13-8CBD-EDF9FDDD69B6}">
  <ds:schemaRefs/>
</ds:datastoreItem>
</file>

<file path=customXml/itemProps11.xml><?xml version="1.0" encoding="utf-8"?>
<ds:datastoreItem xmlns:ds="http://schemas.openxmlformats.org/officeDocument/2006/customXml" ds:itemID="{498A2833-00DA-48C2-8E27-DD54EF24EF7B}">
  <ds:schemaRefs/>
</ds:datastoreItem>
</file>

<file path=customXml/itemProps12.xml><?xml version="1.0" encoding="utf-8"?>
<ds:datastoreItem xmlns:ds="http://schemas.openxmlformats.org/officeDocument/2006/customXml" ds:itemID="{BCD41D10-593C-4886-927E-BA51AC595277}">
  <ds:schemaRefs/>
</ds:datastoreItem>
</file>

<file path=customXml/itemProps13.xml><?xml version="1.0" encoding="utf-8"?>
<ds:datastoreItem xmlns:ds="http://schemas.openxmlformats.org/officeDocument/2006/customXml" ds:itemID="{8D978377-416F-4742-BF5E-259BB76920D7}">
  <ds:schemaRefs/>
</ds:datastoreItem>
</file>

<file path=customXml/itemProps14.xml><?xml version="1.0" encoding="utf-8"?>
<ds:datastoreItem xmlns:ds="http://schemas.openxmlformats.org/officeDocument/2006/customXml" ds:itemID="{42E6A3B0-495B-4F05-9B65-65884A5D4F40}">
  <ds:schemaRefs/>
</ds:datastoreItem>
</file>

<file path=customXml/itemProps15.xml><?xml version="1.0" encoding="utf-8"?>
<ds:datastoreItem xmlns:ds="http://schemas.openxmlformats.org/officeDocument/2006/customXml" ds:itemID="{F98D9D7E-B64A-458D-A84F-ADDA541D113D}">
  <ds:schemaRefs/>
</ds:datastoreItem>
</file>

<file path=customXml/itemProps16.xml><?xml version="1.0" encoding="utf-8"?>
<ds:datastoreItem xmlns:ds="http://schemas.openxmlformats.org/officeDocument/2006/customXml" ds:itemID="{A9E850C2-DA0E-4E2D-AB01-B70593EC453E}">
  <ds:schemaRefs/>
</ds:datastoreItem>
</file>

<file path=customXml/itemProps17.xml><?xml version="1.0" encoding="utf-8"?>
<ds:datastoreItem xmlns:ds="http://schemas.openxmlformats.org/officeDocument/2006/customXml" ds:itemID="{7CCC074B-7FE1-4A95-8F4E-F28305B1DF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Injury.Dept</vt:lpstr>
      <vt:lpstr>Injury type</vt:lpstr>
      <vt:lpstr>DATATABLE</vt:lpstr>
      <vt:lpstr>LTI</vt:lpstr>
      <vt:lpstr>IOD TIMELOST</vt:lpstr>
      <vt:lpstr>Day of incident</vt:lpstr>
      <vt:lpstr>NO OF IOD</vt:lpstr>
      <vt:lpstr>SAFETY DATA</vt:lpstr>
      <vt:lpstr>Day of incident (2)</vt:lpstr>
      <vt:lpstr>Safety</vt:lpstr>
      <vt:lpstr>Part Values</vt:lpstr>
      <vt:lpstr>Master Sheet</vt:lpstr>
      <vt:lpstr>Incident Category</vt:lpstr>
      <vt:lpstr>Safety!Print_Area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Catharina Lourens</dc:creator>
  <cp:lastModifiedBy>Tumi Masilela</cp:lastModifiedBy>
  <cp:lastPrinted>2026-06-06T06:04:01Z</cp:lastPrinted>
  <dcterms:created xsi:type="dcterms:W3CDTF">2007-03-02T10:24:39Z</dcterms:created>
  <dcterms:modified xsi:type="dcterms:W3CDTF">2026-06-06T06:51:03Z</dcterms:modified>
</cp:coreProperties>
</file>