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ltdc02\Users$\tumim\My Pictures\Github\"/>
    </mc:Choice>
  </mc:AlternateContent>
  <xr:revisionPtr revIDLastSave="0" documentId="13_ncr:1_{513E1B49-4AFE-4E72-ADD1-60EDCCF8C6DD}" xr6:coauthVersionLast="47" xr6:coauthVersionMax="47" xr10:uidLastSave="{00000000-0000-0000-0000-000000000000}"/>
  <bookViews>
    <workbookView xWindow="-120" yWindow="-120" windowWidth="24240" windowHeight="13140" firstSheet="2" activeTab="2" xr2:uid="{D54F42B7-A5D5-4BEF-8794-7452BC516362}"/>
  </bookViews>
  <sheets>
    <sheet name="SCRAP DATA 24 -25 fy (2)" sheetId="17" state="hidden" r:id="rId1"/>
    <sheet name="SCRAP DATATABLE" sheetId="12" state="hidden" r:id="rId2"/>
    <sheet name="SCRAP DATA" sheetId="1" r:id="rId3"/>
    <sheet name="HAMMER" sheetId="2" state="hidden" r:id="rId4"/>
    <sheet name="IRONTOOL" sheetId="4" state="hidden" r:id="rId5"/>
    <sheet name="HANDLE" sheetId="3" state="hidden" r:id="rId6"/>
    <sheet name="TABLE" sheetId="5" state="hidden" r:id="rId7"/>
    <sheet name="HAMMER CST" sheetId="6" state="hidden" r:id="rId8"/>
    <sheet name="IRONTOOL CST" sheetId="7" state="hidden" r:id="rId9"/>
    <sheet name="HANDLE CST" sheetId="8" state="hidden" r:id="rId10"/>
    <sheet name="HAMMER CON" sheetId="9" state="hidden" r:id="rId11"/>
    <sheet name="IRONTOOL CON" sheetId="10" state="hidden" r:id="rId12"/>
    <sheet name="HANDLE CON" sheetId="11" state="hidden" r:id="rId13"/>
    <sheet name="top5" sheetId="13" state="hidden" r:id="rId14"/>
    <sheet name="top5 (2)" sheetId="15" state="hidden" r:id="rId15"/>
    <sheet name="HAMMER (2)" sheetId="20" state="hidden" r:id="rId16"/>
  </sheets>
  <definedNames>
    <definedName name="_xlnm._FilterDatabase" localSheetId="2" hidden="1">'SCRAP DATA'!$A$1:$J$318</definedName>
    <definedName name="_xlnm._FilterDatabase" localSheetId="0" hidden="1">'SCRAP DATA 24 -25 fy (2)'!$A$1:$H$315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9" i="1" l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14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I307" i="1" l="1"/>
  <c r="I308" i="1"/>
  <c r="I304" i="1"/>
  <c r="I305" i="1"/>
  <c r="I306" i="1"/>
  <c r="I300" i="1"/>
  <c r="I301" i="1"/>
  <c r="I302" i="1"/>
  <c r="I303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185" i="1" l="1"/>
  <c r="I186" i="1"/>
  <c r="I187" i="1"/>
  <c r="I188" i="1"/>
  <c r="I189" i="1"/>
  <c r="F474" i="17" l="1"/>
  <c r="G474" i="17" s="1"/>
  <c r="F473" i="17"/>
  <c r="G473" i="17" s="1"/>
  <c r="F472" i="17"/>
  <c r="G472" i="17" s="1"/>
  <c r="F471" i="17"/>
  <c r="G471" i="17" s="1"/>
  <c r="F470" i="17"/>
  <c r="G470" i="17" s="1"/>
  <c r="F469" i="17"/>
  <c r="G469" i="17" s="1"/>
  <c r="F468" i="17"/>
  <c r="G468" i="17" s="1"/>
  <c r="F467" i="17"/>
  <c r="G467" i="17" s="1"/>
  <c r="F466" i="17"/>
  <c r="G466" i="17" s="1"/>
  <c r="F465" i="17"/>
  <c r="G465" i="17" s="1"/>
  <c r="F464" i="17"/>
  <c r="G464" i="17" s="1"/>
  <c r="F463" i="17"/>
  <c r="G463" i="17" s="1"/>
  <c r="F462" i="17"/>
  <c r="G462" i="17" s="1"/>
  <c r="F461" i="17"/>
  <c r="G461" i="17" s="1"/>
  <c r="F460" i="17"/>
  <c r="G460" i="17" s="1"/>
  <c r="F459" i="17"/>
  <c r="G459" i="17" s="1"/>
  <c r="F458" i="17"/>
  <c r="G458" i="17" s="1"/>
  <c r="F457" i="17"/>
  <c r="G457" i="17" s="1"/>
  <c r="F456" i="17"/>
  <c r="G456" i="17" s="1"/>
  <c r="F455" i="17"/>
  <c r="G455" i="17" s="1"/>
  <c r="F454" i="17"/>
  <c r="G454" i="17" s="1"/>
  <c r="F453" i="17"/>
  <c r="G453" i="17" s="1"/>
  <c r="F452" i="17"/>
  <c r="G452" i="17" s="1"/>
  <c r="F451" i="17"/>
  <c r="G451" i="17" s="1"/>
  <c r="F450" i="17"/>
  <c r="G450" i="17" s="1"/>
  <c r="F449" i="17"/>
  <c r="G449" i="17" s="1"/>
  <c r="F448" i="17"/>
  <c r="G448" i="17" s="1"/>
  <c r="F447" i="17"/>
  <c r="G447" i="17" s="1"/>
  <c r="F446" i="17"/>
  <c r="G446" i="17" s="1"/>
  <c r="F445" i="17"/>
  <c r="G445" i="17" s="1"/>
  <c r="F444" i="17"/>
  <c r="G444" i="17" s="1"/>
  <c r="F443" i="17"/>
  <c r="G443" i="17" s="1"/>
  <c r="F442" i="17"/>
  <c r="G442" i="17" s="1"/>
  <c r="F441" i="17"/>
  <c r="G441" i="17" s="1"/>
  <c r="F440" i="17"/>
  <c r="G440" i="17" s="1"/>
  <c r="F439" i="17"/>
  <c r="G439" i="17" s="1"/>
  <c r="F438" i="17"/>
  <c r="G438" i="17" s="1"/>
  <c r="F437" i="17"/>
  <c r="G437" i="17" s="1"/>
  <c r="F436" i="17"/>
  <c r="G436" i="17" s="1"/>
  <c r="F435" i="17"/>
  <c r="G435" i="17" s="1"/>
  <c r="F434" i="17"/>
  <c r="G434" i="17" s="1"/>
  <c r="F433" i="17"/>
  <c r="G433" i="17" s="1"/>
  <c r="F432" i="17"/>
  <c r="G432" i="17" s="1"/>
  <c r="F431" i="17"/>
  <c r="G431" i="17" s="1"/>
  <c r="F430" i="17"/>
  <c r="G430" i="17" s="1"/>
  <c r="F429" i="17"/>
  <c r="G429" i="17" s="1"/>
  <c r="F428" i="17"/>
  <c r="G428" i="17" s="1"/>
  <c r="F427" i="17"/>
  <c r="G427" i="17" s="1"/>
  <c r="F426" i="17"/>
  <c r="G426" i="17" s="1"/>
  <c r="F425" i="17"/>
  <c r="G425" i="17" s="1"/>
  <c r="F424" i="17"/>
  <c r="G424" i="17" s="1"/>
  <c r="F423" i="17"/>
  <c r="G423" i="17" s="1"/>
  <c r="F422" i="17"/>
  <c r="G422" i="17" s="1"/>
  <c r="F421" i="17"/>
  <c r="G421" i="17" s="1"/>
  <c r="F420" i="17"/>
  <c r="G420" i="17" s="1"/>
  <c r="F419" i="17"/>
  <c r="G419" i="17" s="1"/>
  <c r="F418" i="17"/>
  <c r="G418" i="17" s="1"/>
  <c r="F417" i="17"/>
  <c r="G417" i="17" s="1"/>
  <c r="F416" i="17"/>
  <c r="G416" i="17" s="1"/>
  <c r="F415" i="17"/>
  <c r="G415" i="17" s="1"/>
  <c r="F414" i="17"/>
  <c r="G414" i="17" s="1"/>
  <c r="F413" i="17"/>
  <c r="G413" i="17" s="1"/>
  <c r="F412" i="17"/>
  <c r="G412" i="17" s="1"/>
  <c r="F411" i="17"/>
  <c r="G411" i="17" s="1"/>
  <c r="F410" i="17"/>
  <c r="G410" i="17" s="1"/>
  <c r="F409" i="17"/>
  <c r="G409" i="17" s="1"/>
  <c r="F408" i="17"/>
  <c r="G408" i="17" s="1"/>
  <c r="F407" i="17"/>
  <c r="G407" i="17" s="1"/>
  <c r="F406" i="17"/>
  <c r="G406" i="17" s="1"/>
  <c r="F405" i="17"/>
  <c r="G405" i="17" s="1"/>
  <c r="F404" i="17"/>
  <c r="G404" i="17" s="1"/>
  <c r="F403" i="17"/>
  <c r="G403" i="17" s="1"/>
  <c r="F402" i="17"/>
  <c r="G402" i="17" s="1"/>
  <c r="F401" i="17"/>
  <c r="G401" i="17" s="1"/>
  <c r="F400" i="17"/>
  <c r="G400" i="17" s="1"/>
  <c r="F399" i="17"/>
  <c r="G399" i="17" s="1"/>
  <c r="F398" i="17"/>
  <c r="G398" i="17" s="1"/>
  <c r="F397" i="17"/>
  <c r="G397" i="17" s="1"/>
  <c r="F396" i="17"/>
  <c r="G396" i="17" s="1"/>
  <c r="F395" i="17"/>
  <c r="G395" i="17" s="1"/>
  <c r="F394" i="17"/>
  <c r="G394" i="17" s="1"/>
  <c r="F393" i="17"/>
  <c r="G393" i="17" s="1"/>
  <c r="F392" i="17"/>
  <c r="G392" i="17" s="1"/>
  <c r="F391" i="17"/>
  <c r="G391" i="17" s="1"/>
  <c r="F390" i="17"/>
  <c r="G390" i="17" s="1"/>
  <c r="F389" i="17"/>
  <c r="G389" i="17" s="1"/>
  <c r="F388" i="17"/>
  <c r="G388" i="17" s="1"/>
  <c r="F387" i="17"/>
  <c r="G387" i="17" s="1"/>
  <c r="F386" i="17"/>
  <c r="G386" i="17" s="1"/>
  <c r="F385" i="17"/>
  <c r="G385" i="17" s="1"/>
  <c r="F384" i="17"/>
  <c r="G384" i="17" s="1"/>
  <c r="F383" i="17"/>
  <c r="G383" i="17" s="1"/>
  <c r="F382" i="17"/>
  <c r="G382" i="17" s="1"/>
  <c r="F381" i="17"/>
  <c r="G381" i="17" s="1"/>
  <c r="F380" i="17"/>
  <c r="G380" i="17" s="1"/>
  <c r="F379" i="17"/>
  <c r="G379" i="17" s="1"/>
  <c r="F378" i="17"/>
  <c r="G378" i="17" s="1"/>
  <c r="F377" i="17"/>
  <c r="G377" i="17" s="1"/>
  <c r="F376" i="17"/>
  <c r="G376" i="17" s="1"/>
  <c r="F375" i="17"/>
  <c r="G375" i="17" s="1"/>
  <c r="F374" i="17"/>
  <c r="G374" i="17" s="1"/>
  <c r="F373" i="17"/>
  <c r="G373" i="17" s="1"/>
  <c r="F372" i="17"/>
  <c r="G372" i="17" s="1"/>
  <c r="F371" i="17"/>
  <c r="G371" i="17" s="1"/>
  <c r="F370" i="17"/>
  <c r="G370" i="17" s="1"/>
  <c r="F369" i="17"/>
  <c r="G369" i="17" s="1"/>
  <c r="F368" i="17"/>
  <c r="G368" i="17" s="1"/>
  <c r="F367" i="17"/>
  <c r="G367" i="17" s="1"/>
  <c r="F366" i="17"/>
  <c r="G366" i="17" s="1"/>
  <c r="F365" i="17"/>
  <c r="G365" i="17" s="1"/>
  <c r="F364" i="17"/>
  <c r="G364" i="17" s="1"/>
  <c r="F363" i="17"/>
  <c r="G363" i="17" s="1"/>
  <c r="F362" i="17"/>
  <c r="G362" i="17" s="1"/>
  <c r="F361" i="17"/>
  <c r="G361" i="17" s="1"/>
  <c r="F360" i="17"/>
  <c r="G360" i="17" s="1"/>
  <c r="F359" i="17"/>
  <c r="G359" i="17" s="1"/>
  <c r="F358" i="17"/>
  <c r="G358" i="17" s="1"/>
  <c r="F357" i="17"/>
  <c r="G357" i="17" s="1"/>
  <c r="F356" i="17"/>
  <c r="G356" i="17" s="1"/>
  <c r="F355" i="17"/>
  <c r="G355" i="17" s="1"/>
  <c r="F354" i="17"/>
  <c r="G354" i="17" s="1"/>
  <c r="F353" i="17"/>
  <c r="G353" i="17" s="1"/>
  <c r="F352" i="17"/>
  <c r="G352" i="17" s="1"/>
  <c r="F351" i="17"/>
  <c r="G351" i="17" s="1"/>
  <c r="F350" i="17"/>
  <c r="G350" i="17" s="1"/>
  <c r="F349" i="17"/>
  <c r="G349" i="17" s="1"/>
  <c r="F348" i="17"/>
  <c r="G348" i="17" s="1"/>
  <c r="F347" i="17"/>
  <c r="G347" i="17" s="1"/>
  <c r="F346" i="17"/>
  <c r="G346" i="17" s="1"/>
  <c r="F345" i="17"/>
  <c r="G345" i="17" s="1"/>
  <c r="F344" i="17"/>
  <c r="G344" i="17" s="1"/>
  <c r="F343" i="17"/>
  <c r="G343" i="17" s="1"/>
  <c r="F342" i="17"/>
  <c r="G342" i="17" s="1"/>
  <c r="F341" i="17"/>
  <c r="G341" i="17" s="1"/>
  <c r="F340" i="17"/>
  <c r="G340" i="17" s="1"/>
  <c r="F339" i="17"/>
  <c r="G339" i="17" s="1"/>
  <c r="F338" i="17"/>
  <c r="G338" i="17" s="1"/>
  <c r="F337" i="17"/>
  <c r="G337" i="17" s="1"/>
  <c r="F336" i="17"/>
  <c r="G336" i="17" s="1"/>
  <c r="F335" i="17"/>
  <c r="G335" i="17" s="1"/>
  <c r="F334" i="17"/>
  <c r="G334" i="17" s="1"/>
  <c r="F333" i="17"/>
  <c r="G333" i="17" s="1"/>
  <c r="F332" i="17"/>
  <c r="G332" i="17" s="1"/>
  <c r="F331" i="17"/>
  <c r="G331" i="17" s="1"/>
  <c r="F330" i="17"/>
  <c r="G330" i="17" s="1"/>
  <c r="F329" i="17"/>
  <c r="G329" i="17" s="1"/>
  <c r="F328" i="17"/>
  <c r="G328" i="17" s="1"/>
  <c r="F327" i="17"/>
  <c r="G327" i="17" s="1"/>
  <c r="F326" i="17"/>
  <c r="G326" i="17" s="1"/>
  <c r="F325" i="17"/>
  <c r="G325" i="17" s="1"/>
  <c r="F324" i="17"/>
  <c r="G324" i="17" s="1"/>
  <c r="F323" i="17"/>
  <c r="G323" i="17" s="1"/>
  <c r="F322" i="17"/>
  <c r="G322" i="17" s="1"/>
  <c r="F321" i="17"/>
  <c r="G321" i="17" s="1"/>
  <c r="F320" i="17"/>
  <c r="G320" i="17" s="1"/>
  <c r="F319" i="17"/>
  <c r="G319" i="17" s="1"/>
  <c r="F318" i="17"/>
  <c r="G318" i="17" s="1"/>
  <c r="F317" i="17"/>
  <c r="G317" i="17" s="1"/>
  <c r="F316" i="17"/>
  <c r="G316" i="17" s="1"/>
  <c r="F315" i="17"/>
  <c r="G315" i="17" s="1"/>
  <c r="F314" i="17"/>
  <c r="G314" i="17" s="1"/>
  <c r="F313" i="17"/>
  <c r="G313" i="17" s="1"/>
  <c r="F312" i="17"/>
  <c r="G312" i="17" s="1"/>
  <c r="F311" i="17"/>
  <c r="G311" i="17" s="1"/>
  <c r="F310" i="17"/>
  <c r="G310" i="17" s="1"/>
  <c r="F309" i="17"/>
  <c r="G309" i="17" s="1"/>
  <c r="F308" i="17"/>
  <c r="G308" i="17" s="1"/>
  <c r="F307" i="17"/>
  <c r="G307" i="17" s="1"/>
  <c r="F306" i="17"/>
  <c r="G306" i="17" s="1"/>
  <c r="F305" i="17"/>
  <c r="G305" i="17" s="1"/>
  <c r="F304" i="17"/>
  <c r="G304" i="17" s="1"/>
  <c r="F303" i="17"/>
  <c r="G303" i="17" s="1"/>
  <c r="F302" i="17"/>
  <c r="G302" i="17" s="1"/>
  <c r="F301" i="17"/>
  <c r="G301" i="17" s="1"/>
  <c r="F300" i="17"/>
  <c r="G300" i="17" s="1"/>
  <c r="F299" i="17"/>
  <c r="G299" i="17" s="1"/>
  <c r="F298" i="17"/>
  <c r="G298" i="17" s="1"/>
  <c r="F297" i="17"/>
  <c r="G297" i="17" s="1"/>
  <c r="F296" i="17"/>
  <c r="G296" i="17" s="1"/>
  <c r="F295" i="17"/>
  <c r="G295" i="17" s="1"/>
  <c r="F294" i="17"/>
  <c r="G294" i="17" s="1"/>
  <c r="F293" i="17"/>
  <c r="G293" i="17" s="1"/>
  <c r="F292" i="17"/>
  <c r="G292" i="17" s="1"/>
  <c r="F291" i="17"/>
  <c r="G291" i="17" s="1"/>
  <c r="F290" i="17"/>
  <c r="G290" i="17" s="1"/>
  <c r="F289" i="17"/>
  <c r="G289" i="17" s="1"/>
  <c r="F288" i="17"/>
  <c r="G288" i="17" s="1"/>
  <c r="F287" i="17"/>
  <c r="G287" i="17" s="1"/>
  <c r="F286" i="17"/>
  <c r="G286" i="17" s="1"/>
  <c r="F285" i="17"/>
  <c r="G285" i="17" s="1"/>
  <c r="F284" i="17"/>
  <c r="G284" i="17" s="1"/>
  <c r="F283" i="17"/>
  <c r="G283" i="17" s="1"/>
  <c r="F282" i="17"/>
  <c r="G282" i="17" s="1"/>
  <c r="F281" i="17"/>
  <c r="G281" i="17" s="1"/>
  <c r="F280" i="17"/>
  <c r="G280" i="17" s="1"/>
  <c r="F279" i="17"/>
  <c r="G279" i="17" s="1"/>
  <c r="F278" i="17"/>
  <c r="G278" i="17" s="1"/>
  <c r="F277" i="17"/>
  <c r="G277" i="17" s="1"/>
  <c r="F276" i="17"/>
  <c r="G276" i="17" s="1"/>
  <c r="F275" i="17"/>
  <c r="G275" i="17" s="1"/>
  <c r="F274" i="17"/>
  <c r="G274" i="17" s="1"/>
  <c r="F273" i="17"/>
  <c r="G273" i="17" s="1"/>
  <c r="F272" i="17"/>
  <c r="G272" i="17" s="1"/>
  <c r="F271" i="17"/>
  <c r="G271" i="17" s="1"/>
  <c r="F270" i="17"/>
  <c r="G270" i="17" s="1"/>
  <c r="F269" i="17"/>
  <c r="G269" i="17" s="1"/>
  <c r="F268" i="17"/>
  <c r="G268" i="17" s="1"/>
  <c r="F267" i="17"/>
  <c r="G267" i="17" s="1"/>
  <c r="F266" i="17"/>
  <c r="G266" i="17" s="1"/>
  <c r="F265" i="17"/>
  <c r="G265" i="17" s="1"/>
  <c r="F264" i="17"/>
  <c r="G264" i="17" s="1"/>
  <c r="F263" i="17"/>
  <c r="G263" i="17" s="1"/>
  <c r="F262" i="17"/>
  <c r="G262" i="17" s="1"/>
  <c r="F261" i="17"/>
  <c r="G261" i="17" s="1"/>
  <c r="F260" i="17"/>
  <c r="G260" i="17" s="1"/>
  <c r="F259" i="17"/>
  <c r="G259" i="17" s="1"/>
  <c r="F258" i="17"/>
  <c r="G258" i="17" s="1"/>
  <c r="F256" i="17"/>
  <c r="G256" i="17" s="1"/>
  <c r="F255" i="17"/>
  <c r="G255" i="17" s="1"/>
  <c r="F254" i="17"/>
  <c r="G254" i="17" s="1"/>
  <c r="F253" i="17"/>
  <c r="G253" i="17" s="1"/>
  <c r="F252" i="17"/>
  <c r="G252" i="17" s="1"/>
  <c r="F251" i="17"/>
  <c r="G251" i="17" s="1"/>
  <c r="F250" i="17"/>
  <c r="G250" i="17" s="1"/>
  <c r="F249" i="17"/>
  <c r="G249" i="17" s="1"/>
  <c r="F248" i="17"/>
  <c r="G248" i="17" s="1"/>
  <c r="F247" i="17"/>
  <c r="G247" i="17" s="1"/>
  <c r="F246" i="17"/>
  <c r="G246" i="17" s="1"/>
  <c r="F245" i="17"/>
  <c r="G245" i="17" s="1"/>
  <c r="F244" i="17"/>
  <c r="G244" i="17" s="1"/>
  <c r="F243" i="17"/>
  <c r="G243" i="17" s="1"/>
  <c r="F242" i="17"/>
  <c r="G242" i="17" s="1"/>
  <c r="F241" i="17"/>
  <c r="G241" i="17" s="1"/>
  <c r="F240" i="17"/>
  <c r="G240" i="17" s="1"/>
  <c r="F239" i="17"/>
  <c r="G239" i="17" s="1"/>
  <c r="F238" i="17"/>
  <c r="G238" i="17" s="1"/>
  <c r="F237" i="17"/>
  <c r="G237" i="17" s="1"/>
  <c r="F236" i="17"/>
  <c r="G236" i="17" s="1"/>
  <c r="F235" i="17"/>
  <c r="G235" i="17" s="1"/>
  <c r="F234" i="17"/>
  <c r="G234" i="17" s="1"/>
  <c r="F233" i="17"/>
  <c r="G233" i="17" s="1"/>
  <c r="F232" i="17"/>
  <c r="G232" i="17" s="1"/>
  <c r="F231" i="17"/>
  <c r="G231" i="17" s="1"/>
  <c r="F230" i="17"/>
  <c r="G230" i="17" s="1"/>
  <c r="F229" i="17"/>
  <c r="G229" i="17" s="1"/>
  <c r="F228" i="17"/>
  <c r="G228" i="17" s="1"/>
  <c r="F227" i="17"/>
  <c r="G227" i="17" s="1"/>
  <c r="F226" i="17"/>
  <c r="G226" i="17" s="1"/>
  <c r="F225" i="17"/>
  <c r="G225" i="17" s="1"/>
  <c r="F224" i="17"/>
  <c r="G224" i="17" s="1"/>
  <c r="F223" i="17"/>
  <c r="G223" i="17" s="1"/>
  <c r="F222" i="17"/>
  <c r="G222" i="17" s="1"/>
  <c r="F221" i="17"/>
  <c r="G221" i="17" s="1"/>
  <c r="F220" i="17"/>
  <c r="G220" i="17" s="1"/>
  <c r="F219" i="17"/>
  <c r="G219" i="17" s="1"/>
  <c r="F218" i="17"/>
  <c r="G218" i="17" s="1"/>
  <c r="F217" i="17"/>
  <c r="G217" i="17" s="1"/>
  <c r="F216" i="17"/>
  <c r="G216" i="17" s="1"/>
  <c r="F215" i="17"/>
  <c r="G215" i="17" s="1"/>
  <c r="F214" i="17"/>
  <c r="G214" i="17" s="1"/>
  <c r="F213" i="17"/>
  <c r="G213" i="17" s="1"/>
  <c r="F212" i="17"/>
  <c r="G212" i="17" s="1"/>
  <c r="F211" i="17"/>
  <c r="G211" i="17" s="1"/>
  <c r="F210" i="17"/>
  <c r="G210" i="17" s="1"/>
  <c r="F209" i="17"/>
  <c r="G209" i="17" s="1"/>
  <c r="F208" i="17"/>
  <c r="G208" i="17" s="1"/>
  <c r="F207" i="17"/>
  <c r="G207" i="17" s="1"/>
  <c r="F206" i="17"/>
  <c r="G206" i="17" s="1"/>
  <c r="F205" i="17"/>
  <c r="G205" i="17" s="1"/>
  <c r="F204" i="17"/>
  <c r="G204" i="17" s="1"/>
  <c r="F203" i="17"/>
  <c r="G203" i="17" s="1"/>
  <c r="F202" i="17"/>
  <c r="G202" i="17" s="1"/>
  <c r="F201" i="17"/>
  <c r="G201" i="17" s="1"/>
  <c r="F200" i="17"/>
  <c r="G200" i="17" s="1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I255" i="1" l="1"/>
  <c r="I271" i="1"/>
  <c r="I272" i="1"/>
  <c r="I273" i="1"/>
  <c r="I274" i="1"/>
  <c r="I275" i="1"/>
  <c r="I276" i="1"/>
  <c r="I277" i="1"/>
  <c r="I278" i="1"/>
  <c r="I279" i="1"/>
  <c r="I280" i="1"/>
  <c r="I281" i="1"/>
  <c r="I270" i="1"/>
  <c r="I269" i="1"/>
  <c r="I263" i="1"/>
  <c r="I264" i="1"/>
  <c r="I265" i="1"/>
  <c r="I266" i="1"/>
  <c r="I267" i="1"/>
  <c r="I268" i="1"/>
  <c r="I254" i="1" l="1"/>
  <c r="I253" i="1"/>
  <c r="I252" i="1"/>
  <c r="I251" i="1"/>
  <c r="I250" i="1"/>
  <c r="I249" i="1"/>
  <c r="I248" i="1"/>
  <c r="I242" i="1"/>
  <c r="I243" i="1"/>
  <c r="I244" i="1"/>
  <c r="I245" i="1"/>
  <c r="I246" i="1"/>
  <c r="I247" i="1"/>
  <c r="I236" i="1"/>
  <c r="I237" i="1"/>
  <c r="I238" i="1"/>
  <c r="I239" i="1"/>
  <c r="I240" i="1"/>
  <c r="I241" i="1"/>
  <c r="I233" i="1"/>
  <c r="I234" i="1"/>
  <c r="I235" i="1"/>
  <c r="I232" i="1"/>
  <c r="I230" i="1"/>
  <c r="I231" i="1"/>
  <c r="I228" i="1"/>
  <c r="I229" i="1"/>
  <c r="I219" i="1"/>
  <c r="I220" i="1"/>
  <c r="I221" i="1"/>
  <c r="I222" i="1"/>
  <c r="I223" i="1"/>
  <c r="I224" i="1"/>
  <c r="I225" i="1"/>
  <c r="I226" i="1"/>
  <c r="I227" i="1"/>
  <c r="I215" i="1" l="1"/>
  <c r="I216" i="1"/>
  <c r="I217" i="1"/>
  <c r="I218" i="1"/>
  <c r="I213" i="1"/>
  <c r="I214" i="1"/>
  <c r="I207" i="1"/>
  <c r="I208" i="1"/>
  <c r="I209" i="1"/>
  <c r="I210" i="1"/>
  <c r="I211" i="1"/>
  <c r="I212" i="1"/>
  <c r="I205" i="1"/>
  <c r="I206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183" i="1" l="1"/>
  <c r="I184" i="1"/>
  <c r="I174" i="1"/>
  <c r="I175" i="1"/>
  <c r="I176" i="1"/>
  <c r="I177" i="1"/>
  <c r="I178" i="1"/>
  <c r="I179" i="1"/>
  <c r="I180" i="1"/>
  <c r="I181" i="1"/>
  <c r="I182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60" i="1" l="1"/>
  <c r="I157" i="1"/>
  <c r="I158" i="1"/>
  <c r="I159" i="1"/>
  <c r="I150" i="1"/>
  <c r="I151" i="1"/>
  <c r="I152" i="1"/>
  <c r="I153" i="1"/>
  <c r="I154" i="1"/>
  <c r="I155" i="1"/>
  <c r="I156" i="1"/>
  <c r="I149" i="1"/>
  <c r="I140" i="1"/>
  <c r="I141" i="1"/>
  <c r="I142" i="1"/>
  <c r="I143" i="1"/>
  <c r="I144" i="1"/>
  <c r="I145" i="1"/>
  <c r="I146" i="1"/>
  <c r="I147" i="1"/>
  <c r="I148" i="1"/>
  <c r="I138" i="1" l="1"/>
  <c r="I139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25" i="1"/>
  <c r="I99" i="1"/>
  <c r="I100" i="1"/>
  <c r="I121" i="1"/>
  <c r="I122" i="1"/>
  <c r="I123" i="1"/>
  <c r="I124" i="1"/>
  <c r="I116" i="1" l="1"/>
  <c r="I117" i="1"/>
  <c r="I118" i="1"/>
  <c r="I119" i="1"/>
  <c r="I120" i="1"/>
  <c r="I113" i="1"/>
  <c r="I114" i="1"/>
  <c r="I115" i="1"/>
  <c r="I86" i="1"/>
  <c r="I87" i="1"/>
  <c r="I88" i="1"/>
  <c r="I89" i="1"/>
  <c r="I90" i="1" l="1"/>
  <c r="I91" i="1"/>
  <c r="I92" i="1"/>
  <c r="I93" i="1"/>
  <c r="I94" i="1"/>
  <c r="I95" i="1"/>
  <c r="I96" i="1"/>
  <c r="I97" i="1"/>
  <c r="I259" i="1"/>
  <c r="I258" i="1"/>
  <c r="I260" i="1"/>
  <c r="I261" i="1"/>
  <c r="I262" i="1"/>
  <c r="I98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256" i="1"/>
  <c r="I257" i="1"/>
  <c r="I79" i="1"/>
  <c r="I80" i="1"/>
  <c r="I81" i="1"/>
  <c r="I82" i="1"/>
  <c r="I83" i="1"/>
  <c r="I84" i="1"/>
  <c r="I85" i="1"/>
  <c r="I74" i="1"/>
  <c r="I75" i="1"/>
  <c r="I76" i="1"/>
  <c r="I77" i="1"/>
  <c r="I78" i="1"/>
  <c r="I66" i="1"/>
  <c r="I67" i="1"/>
  <c r="I68" i="1"/>
  <c r="I69" i="1"/>
  <c r="I70" i="1"/>
  <c r="I71" i="1"/>
  <c r="I72" i="1"/>
  <c r="I73" i="1"/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60" i="1"/>
  <c r="I61" i="1"/>
  <c r="I62" i="1"/>
  <c r="I63" i="1"/>
  <c r="I64" i="1"/>
  <c r="I65" i="1"/>
  <c r="I27" i="1"/>
  <c r="I28" i="1"/>
  <c r="I29" i="1"/>
  <c r="I24" i="1"/>
  <c r="I25" i="1"/>
  <c r="I26" i="1"/>
  <c r="I20" i="1" l="1"/>
  <c r="I21" i="1"/>
  <c r="I22" i="1"/>
  <c r="I23" i="1"/>
  <c r="I19" i="1"/>
  <c r="O26" i="12" l="1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H2" i="1" l="1"/>
  <c r="I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</calcChain>
</file>

<file path=xl/sharedStrings.xml><?xml version="1.0" encoding="utf-8"?>
<sst xmlns="http://schemas.openxmlformats.org/spreadsheetml/2006/main" count="3736" uniqueCount="296">
  <si>
    <t>PRODUCT</t>
  </si>
  <si>
    <t xml:space="preserve">Scrap Type </t>
  </si>
  <si>
    <t>Qty</t>
  </si>
  <si>
    <t>Ham Club 1.8kg S/C Soft Grip</t>
  </si>
  <si>
    <t>Ham Scutch S/C Soft Grip</t>
  </si>
  <si>
    <t>Month</t>
  </si>
  <si>
    <t>Prod Type</t>
  </si>
  <si>
    <t>Hammer</t>
  </si>
  <si>
    <t>F/fault</t>
  </si>
  <si>
    <t>Ham Drill 1.8kg P/Handle Black</t>
  </si>
  <si>
    <t>DAM.EYE</t>
  </si>
  <si>
    <t xml:space="preserve">Bolst  Electrician 55mm </t>
  </si>
  <si>
    <t>Iron Tools</t>
  </si>
  <si>
    <t>BAD.FRG</t>
  </si>
  <si>
    <t>Bolster 100mm</t>
  </si>
  <si>
    <t>WL.DAM</t>
  </si>
  <si>
    <t>U.FILL</t>
  </si>
  <si>
    <t>Chisel Flat Cold 16x175</t>
  </si>
  <si>
    <t>Chisel Flat Cold 12x200</t>
  </si>
  <si>
    <t>Chisel Flat Cold 20x200</t>
  </si>
  <si>
    <t>Chisel Flat Cold 25x300</t>
  </si>
  <si>
    <t>Chisel Flat Cold 25x350</t>
  </si>
  <si>
    <t>Bar Wrecking 20x450mm</t>
  </si>
  <si>
    <t>Bar Wrecking 20x600mm</t>
  </si>
  <si>
    <t>Bar Wrecking 20x750mm</t>
  </si>
  <si>
    <t xml:space="preserve">HDL  Club 1.8kg Poly S/C Soft Grip  </t>
  </si>
  <si>
    <t>Hdl BP Wood 400mm</t>
  </si>
  <si>
    <t>Hdl Rake Steel Plastic</t>
  </si>
  <si>
    <t>Handles</t>
  </si>
  <si>
    <t>BRKN</t>
  </si>
  <si>
    <t>Ham Claw 600g S/C Poly Handle</t>
  </si>
  <si>
    <t>Ham Claw 700g S/C Poly Handle</t>
  </si>
  <si>
    <t>CLW END.SHRT</t>
  </si>
  <si>
    <t>AUG</t>
  </si>
  <si>
    <t>Jul</t>
  </si>
  <si>
    <t>BENT.OFFSET</t>
  </si>
  <si>
    <t>Ham Sledge 6.3kg P/Handle Black CCL</t>
  </si>
  <si>
    <t>Chisel Flat Cold 12x150</t>
  </si>
  <si>
    <t>Chisel Flat Cold 20x250</t>
  </si>
  <si>
    <t>Chisel Flat Cold 25x250</t>
  </si>
  <si>
    <t>Bar Tommy 20x600mm</t>
  </si>
  <si>
    <t>Bar Wrecking 20x300mm</t>
  </si>
  <si>
    <t>Bolster 100mm PVC Grip</t>
  </si>
  <si>
    <t>FRG.LPS</t>
  </si>
  <si>
    <t>Hdl Claw Wood 345mm</t>
  </si>
  <si>
    <t>Hdl Joiner Wood 280mm</t>
  </si>
  <si>
    <r>
      <rPr>
        <sz val="9"/>
        <rFont val="Arial"/>
        <family val="2"/>
      </rPr>
      <t>Axe 0.9kg</t>
    </r>
    <r>
      <rPr>
        <b/>
        <sz val="9"/>
        <rFont val="Arial"/>
        <family val="2"/>
      </rPr>
      <t xml:space="preserve"> Composite</t>
    </r>
  </si>
  <si>
    <t>SEP</t>
  </si>
  <si>
    <t>Ham BP 200g RW Wood</t>
  </si>
  <si>
    <t>Bar Wrecking 20x900mm</t>
  </si>
  <si>
    <t>Hdl BP Wood 330mm</t>
  </si>
  <si>
    <t>Sum of Qty</t>
  </si>
  <si>
    <t>Row Labels</t>
  </si>
  <si>
    <t>Grand Total</t>
  </si>
  <si>
    <t>Column Labels</t>
  </si>
  <si>
    <t>OCT</t>
  </si>
  <si>
    <t>Ham Sledge 3.6kg P/Handle Black CCL</t>
  </si>
  <si>
    <t>Ham log Splitter 2.5kg S/C 800</t>
  </si>
  <si>
    <t>Hdl 1.1 Club Wood 250mm</t>
  </si>
  <si>
    <t>Hdl BP Wood 280mm</t>
  </si>
  <si>
    <t>Hdl BP Wood 350mm</t>
  </si>
  <si>
    <t>NOV</t>
  </si>
  <si>
    <t>Hammer Chipping</t>
  </si>
  <si>
    <t xml:space="preserve">Digging Bars </t>
  </si>
  <si>
    <t>DEC</t>
  </si>
  <si>
    <t>Ham BP 100g RW Wood</t>
  </si>
  <si>
    <t>Hdl BP Wood 380mm</t>
  </si>
  <si>
    <t>JAN</t>
  </si>
  <si>
    <t>Rake Combination</t>
  </si>
  <si>
    <t>Knife Hacking PVC Grip</t>
  </si>
  <si>
    <t>Bar Tommy 20x450mm</t>
  </si>
  <si>
    <t>Ham Claw 500g Poly</t>
  </si>
  <si>
    <t>Ham Claw 600g RW Wood</t>
  </si>
  <si>
    <t>Ham Club 1.1kg S/C Soft Grip</t>
  </si>
  <si>
    <t>Ham Sledge 4.5kg  S/C Soft Grip</t>
  </si>
  <si>
    <t>FED</t>
  </si>
  <si>
    <r>
      <rPr>
        <sz val="9"/>
        <rFont val="Arial Nova"/>
        <family val="2"/>
      </rPr>
      <t>Axe 0.9kg</t>
    </r>
    <r>
      <rPr>
        <b/>
        <sz val="9"/>
        <rFont val="Arial Nova"/>
        <family val="2"/>
      </rPr>
      <t xml:space="preserve"> Composite</t>
    </r>
  </si>
  <si>
    <t>Chisel Concrete 25x300</t>
  </si>
  <si>
    <t>MAR</t>
  </si>
  <si>
    <t>HAMMER</t>
  </si>
  <si>
    <t>Hdl Broom Steel Plastic</t>
  </si>
  <si>
    <t>Ham Spalling 6.3kg P/Handle Black CCL</t>
  </si>
  <si>
    <t>APR</t>
  </si>
  <si>
    <t>Ham BP 700g RW Wood</t>
  </si>
  <si>
    <t>HDL  Drill 1.8 kg CB Poly Black</t>
  </si>
  <si>
    <t>HDL Claw  Poly S/C Soft Grip</t>
  </si>
  <si>
    <t>MAY</t>
  </si>
  <si>
    <t>Ham Sledge 3.6kg RW Wood</t>
  </si>
  <si>
    <t>Ham Sledge 6.3kg S/C Soft Grip</t>
  </si>
  <si>
    <t>Ham Sledge 1.8kg RW Wood</t>
  </si>
  <si>
    <t xml:space="preserve">Hd Slasher </t>
  </si>
  <si>
    <t>JUNE</t>
  </si>
  <si>
    <t>Ham BP 500g N/C Soft Grip</t>
  </si>
  <si>
    <t>BRKN.TIP</t>
  </si>
  <si>
    <t>Unit Cost</t>
  </si>
  <si>
    <t>Total Cost</t>
  </si>
  <si>
    <t>Hd Broom 300mm Brite / Fitting</t>
  </si>
  <si>
    <t>Hdl Boiler Scaling Wood 300mm</t>
  </si>
  <si>
    <t>Hdl Fitter Wood 320mm</t>
  </si>
  <si>
    <t>Hdl Sledge Wood 900mm</t>
  </si>
  <si>
    <t>Hdl Sledge Wood 750mm</t>
  </si>
  <si>
    <t>Hdl Sledge Wood 600mm</t>
  </si>
  <si>
    <t>Hdl BP Wood 425mm</t>
  </si>
  <si>
    <t>Hdl BP Wood 300mm</t>
  </si>
  <si>
    <t>Hdl Brick/Scutch 800g Wood</t>
  </si>
  <si>
    <t>Hdl 1.8 Club Wood 280mm</t>
  </si>
  <si>
    <t>Hdl Sledge 3.6kg 600 Poly Soft Grip</t>
  </si>
  <si>
    <t>Hdl Sledge 6.3kg 800 Poly Soft Grip</t>
  </si>
  <si>
    <t>HDL Sledge 1.8kg 400 Poly Soft Grip Falcon</t>
  </si>
  <si>
    <t xml:space="preserve">HDL  Club 1.1kg Poly S/C Soft Grip  </t>
  </si>
  <si>
    <t>HDL BP  700/1100g Poly  N/C  Soft Grip</t>
  </si>
  <si>
    <t>HDL BP 500g Poly N/C Soft Grip</t>
  </si>
  <si>
    <t>HDL BP 300g Poly N/C Soft Grip</t>
  </si>
  <si>
    <t>HDL Axe 1.8kg Poly S/C Yellow</t>
  </si>
  <si>
    <t xml:space="preserve">HDL Axe 900g Poly N/C Yellow </t>
  </si>
  <si>
    <t xml:space="preserve">HDL Scutch  Poly S/C Soft Grip </t>
  </si>
  <si>
    <t>HDL BP  700/1100g Poly  N/C Yellow</t>
  </si>
  <si>
    <t xml:space="preserve">HDLSledge  6.3kg  Poly   Black </t>
  </si>
  <si>
    <t xml:space="preserve">HDLSledge  3.6kg  Poly   Black </t>
  </si>
  <si>
    <t>Stamper Sq. 150mm</t>
  </si>
  <si>
    <t>Stamper Round 160mm Dia</t>
  </si>
  <si>
    <t>Bar Crow 32x1800</t>
  </si>
  <si>
    <t>Bar Crow 25x1800</t>
  </si>
  <si>
    <t>Bar Crow 25x1500</t>
  </si>
  <si>
    <t>Bar Crow 25x1200</t>
  </si>
  <si>
    <t>Chisel Flat Cold 22x225</t>
  </si>
  <si>
    <t>Chisel Flat Cold 16x300</t>
  </si>
  <si>
    <t>Chisel Round Nose 10x20x200</t>
  </si>
  <si>
    <t>Chisel Round Nose 6x12x150</t>
  </si>
  <si>
    <t>Chisel Diamond Point 10x20x200</t>
  </si>
  <si>
    <t>Chisel Diamond Point 6x12x150</t>
  </si>
  <si>
    <t>Chisel Cross Cut 10x20x200</t>
  </si>
  <si>
    <t>Chisel Cross Cut 6x12x150</t>
  </si>
  <si>
    <t>Knife Double Edge Slasher</t>
  </si>
  <si>
    <t>Combo Scutch + Brick Combs</t>
  </si>
  <si>
    <t>Combo Rake &amp; Broom</t>
  </si>
  <si>
    <t>Axe 1.8kg P/Handle yellow</t>
  </si>
  <si>
    <t>Axe 0.9kg P/Handle yellow</t>
  </si>
  <si>
    <t>Combo Ham Club 1.8 &amp; Brick Bolster</t>
  </si>
  <si>
    <t>Combo Ham Club 1.1 &amp; Elec Bolster</t>
  </si>
  <si>
    <t>Ham Sledge 6.3kg Copper</t>
  </si>
  <si>
    <t>Ham Sledge 3.6kg Copper</t>
  </si>
  <si>
    <t>Ham Sledge 1.8kg Copper</t>
  </si>
  <si>
    <t>Ham Sledge 1.4kg Copper</t>
  </si>
  <si>
    <t>Ham Sledge 4.5kg P/Handle Black CCL</t>
  </si>
  <si>
    <t>Ham Sledge 3.6kg S/C Soft Grip</t>
  </si>
  <si>
    <t>Ham Sledge 1.8kg HD</t>
  </si>
  <si>
    <t xml:space="preserve">Ham Sledge 3.2kg </t>
  </si>
  <si>
    <t>Ham Sledge 1.8kg .S/C Soft Grip</t>
  </si>
  <si>
    <t>Ham Club 1.8kg CCL Heads</t>
  </si>
  <si>
    <t>Ham Club 2.5lb CCL Heads</t>
  </si>
  <si>
    <t>Ham Sledge 6.3kg RW Heads</t>
  </si>
  <si>
    <t>Ham Sledge 10lb CCL Heads</t>
  </si>
  <si>
    <t>Ham Sledge 3.6kg CCL Heads</t>
  </si>
  <si>
    <t>Ham Drill 1.8kg CCL Heads</t>
  </si>
  <si>
    <t>Ham Din 500g Wood</t>
  </si>
  <si>
    <t>Ham Scutch Wood</t>
  </si>
  <si>
    <t>Ham Brick Chisel Wood</t>
  </si>
  <si>
    <t>Ham Club 1.8kg Wood</t>
  </si>
  <si>
    <t>Ham Club 1.1kg Wood</t>
  </si>
  <si>
    <t>Ham BP 1100 N/C Soft Grip</t>
  </si>
  <si>
    <t>Ham BP 1100g RW Wood</t>
  </si>
  <si>
    <t>Ham BP 900g N/C Soft Grip</t>
  </si>
  <si>
    <t>Ham BP 900g RW Wood</t>
  </si>
  <si>
    <t>Ham BP 700g N/C Soft Grip</t>
  </si>
  <si>
    <t>Ham BP 500g Rw Wood</t>
  </si>
  <si>
    <t>Ham BP 300g N/C Soft Grip</t>
  </si>
  <si>
    <t>Ham BP 300g RW Wood</t>
  </si>
  <si>
    <t>Ham Claw 700g RW Wood</t>
  </si>
  <si>
    <t>Ham Claw 500g RW Wood</t>
  </si>
  <si>
    <t>Ham Jointer 225g Wood</t>
  </si>
  <si>
    <t>Ham Boiler Scaling 500g</t>
  </si>
  <si>
    <t>Ham Sledge 6.3kg RW Wood</t>
  </si>
  <si>
    <t>Ham Sledge 4.5kg RW Wood</t>
  </si>
  <si>
    <t>Value</t>
  </si>
  <si>
    <t>NO</t>
  </si>
  <si>
    <t>Sum of Total Cost</t>
  </si>
  <si>
    <t>Year</t>
  </si>
  <si>
    <t>JUL</t>
  </si>
  <si>
    <t>CRACK</t>
  </si>
  <si>
    <t>HAMMERE ITEM</t>
  </si>
  <si>
    <t>VALUE</t>
  </si>
  <si>
    <t>Iron tools ITEM</t>
  </si>
  <si>
    <t>Iron tools</t>
  </si>
  <si>
    <t>Iron Handles ITEM</t>
  </si>
  <si>
    <t>Scrap type</t>
  </si>
  <si>
    <t>Product type</t>
  </si>
  <si>
    <t>BAD</t>
  </si>
  <si>
    <t>SCAL</t>
  </si>
  <si>
    <t>CRACKS</t>
  </si>
  <si>
    <t>H.T.</t>
  </si>
  <si>
    <t>W/B</t>
  </si>
  <si>
    <t>DAM.</t>
  </si>
  <si>
    <t xml:space="preserve">UNDRER </t>
  </si>
  <si>
    <t>FILL</t>
  </si>
  <si>
    <t xml:space="preserve">BENT/ </t>
  </si>
  <si>
    <t>OFFSET</t>
  </si>
  <si>
    <t>EYE</t>
  </si>
  <si>
    <t>BOX</t>
  </si>
  <si>
    <t xml:space="preserve">WRONG </t>
  </si>
  <si>
    <t>STAMP</t>
  </si>
  <si>
    <t xml:space="preserve">CLAWEND </t>
  </si>
  <si>
    <t>SHORT</t>
  </si>
  <si>
    <t xml:space="preserve">BAD </t>
  </si>
  <si>
    <t>GRI/POL</t>
  </si>
  <si>
    <t xml:space="preserve">COIL </t>
  </si>
  <si>
    <t>DAMAGE</t>
  </si>
  <si>
    <t xml:space="preserve">TEST </t>
  </si>
  <si>
    <t>SAMPLES</t>
  </si>
  <si>
    <t>BROKEN</t>
  </si>
  <si>
    <t xml:space="preserve">MOULDING </t>
  </si>
  <si>
    <t>PROBLEM</t>
  </si>
  <si>
    <t>OTHER</t>
  </si>
  <si>
    <t>FORGING</t>
  </si>
  <si>
    <t xml:space="preserve">CARCKS </t>
  </si>
  <si>
    <t>HEAT TREATMENT</t>
  </si>
  <si>
    <t>FRG</t>
  </si>
  <si>
    <t>LAPS</t>
  </si>
  <si>
    <t>BENT</t>
  </si>
  <si>
    <t>SCLD</t>
  </si>
  <si>
    <t>BKN</t>
  </si>
  <si>
    <t>TIP</t>
  </si>
  <si>
    <t>MAT</t>
  </si>
  <si>
    <t>CRKS</t>
  </si>
  <si>
    <t>U/FILL</t>
  </si>
  <si>
    <t>CRACKSF/fault</t>
  </si>
  <si>
    <t>(Multiple Items)</t>
  </si>
  <si>
    <t>PLSTC.MOULD.DEFECT</t>
  </si>
  <si>
    <r>
      <rPr>
        <sz val="10"/>
        <rFont val="Arial Nova"/>
        <family val="2"/>
      </rPr>
      <t>Axe 0.9kg</t>
    </r>
    <r>
      <rPr>
        <b/>
        <sz val="10"/>
        <rFont val="Arial Nova"/>
        <family val="2"/>
      </rPr>
      <t xml:space="preserve"> Composite</t>
    </r>
  </si>
  <si>
    <t>Ham BP 100g  Nylon Black</t>
  </si>
  <si>
    <t>Ham Boiler Scaling 500g Nylon Black</t>
  </si>
  <si>
    <t>Ham Din 500g  Nylon Black</t>
  </si>
  <si>
    <t>Ham BP 900g SC Poly Handle</t>
  </si>
  <si>
    <t>Ham BP 700g SC Poly Handle</t>
  </si>
  <si>
    <t>Ham Brick Chisel SC Poly Handle</t>
  </si>
  <si>
    <t>Hdl Boiler Scaling /Nylon300mm</t>
  </si>
  <si>
    <t>Hdl Fitter NC Nylon Black 320mm</t>
  </si>
  <si>
    <t>HDL BP 100g Poly N/C Soft Grip</t>
  </si>
  <si>
    <t>Hdl Joiner 200g Nylon Poly</t>
  </si>
  <si>
    <t xml:space="preserve">HDL Sledge 1.8kg 400 Poly Soft </t>
  </si>
  <si>
    <t xml:space="preserve">HDL Sledge 4.5g  Poly Soft </t>
  </si>
  <si>
    <t xml:space="preserve">Hdl Boiler Scaling Wood </t>
  </si>
  <si>
    <t>TEST SAMPLES</t>
  </si>
  <si>
    <t>BENT/ OFFSET</t>
  </si>
  <si>
    <t>POOR ASSMBLY</t>
  </si>
  <si>
    <t>CLAWEND SHORT</t>
  </si>
  <si>
    <t>MOULDING PROBLEM</t>
  </si>
  <si>
    <t>Rake Head</t>
  </si>
  <si>
    <t>MAy</t>
  </si>
  <si>
    <t>hammers</t>
  </si>
  <si>
    <t>BADSCAL</t>
  </si>
  <si>
    <t>W/BDAM.</t>
  </si>
  <si>
    <t>Ham BP 200g Nylon Black</t>
  </si>
  <si>
    <r>
      <rPr>
        <sz val="12"/>
        <rFont val="Arial Nova"/>
        <family val="2"/>
      </rPr>
      <t>Axe 0.9kg</t>
    </r>
    <r>
      <rPr>
        <b/>
        <sz val="12"/>
        <rFont val="Arial Nova"/>
        <family val="2"/>
      </rPr>
      <t xml:space="preserve"> Composite</t>
    </r>
  </si>
  <si>
    <r>
      <rPr>
        <sz val="14"/>
        <rFont val="Arial Nova"/>
        <family val="2"/>
      </rPr>
      <t>Axe 0.9kg</t>
    </r>
    <r>
      <rPr>
        <b/>
        <sz val="14"/>
        <rFont val="Arial Nova"/>
        <family val="2"/>
      </rPr>
      <t xml:space="preserve"> Composite</t>
    </r>
  </si>
  <si>
    <t>Jan</t>
  </si>
  <si>
    <t>Feb</t>
  </si>
  <si>
    <t>Mar</t>
  </si>
  <si>
    <t>Apr</t>
  </si>
  <si>
    <t>ECR</t>
  </si>
  <si>
    <t>BRKN TIP</t>
  </si>
  <si>
    <t>Axe 0.9kg Composite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</si>
  <si>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</si>
  <si>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</si>
  <si>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</si>
  <si>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</si>
  <si>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</si>
  <si>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</si>
  <si>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</si>
  <si>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</si>
  <si>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</si>
  <si>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</si>
  <si>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Date</t>
  </si>
  <si>
    <t>Aug</t>
  </si>
  <si>
    <t>Sep</t>
  </si>
  <si>
    <t>Oct</t>
  </si>
  <si>
    <t>Nov</t>
  </si>
  <si>
    <t>Dec</t>
  </si>
  <si>
    <t>May</t>
  </si>
  <si>
    <t>Jun</t>
  </si>
  <si>
    <t>(All)</t>
  </si>
  <si>
    <t>FG Code</t>
  </si>
  <si>
    <t>CARCKS HEAT TREATMENT</t>
  </si>
  <si>
    <t>Hammers</t>
  </si>
  <si>
    <t>BAD FORGING</t>
  </si>
  <si>
    <t>Poor Assembly</t>
  </si>
  <si>
    <t>FG02630</t>
  </si>
  <si>
    <t>FG02720</t>
  </si>
  <si>
    <t>FG02725</t>
  </si>
  <si>
    <t>FG02750</t>
  </si>
  <si>
    <t>FG02760</t>
  </si>
  <si>
    <t>FG02985</t>
  </si>
  <si>
    <t>FG04130</t>
  </si>
  <si>
    <t>FG05214</t>
  </si>
  <si>
    <t>FG05075</t>
  </si>
  <si>
    <t>CS05214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</si>
</sst>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;[Red]\-General"/>
    <numFmt numFmtId="165" formatCode="&quot;R&quot;\ #,##0.00"/>
    <numFmt numFmtId="166" formatCode="[$R-1C09]\ #,##0.00"/>
    <numFmt numFmtId="167" formatCode="&quot;R&quot;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 Nova"/>
      <family val="2"/>
    </font>
    <font>
      <b/>
      <sz val="9"/>
      <name val="Arial Nova"/>
      <family val="2"/>
    </font>
    <font>
      <sz val="10"/>
      <name val="Arial MT"/>
    </font>
    <font>
      <sz val="11"/>
      <name val="Arial"/>
      <family val="2"/>
    </font>
    <font>
      <sz val="10"/>
      <name val="Arial Nova"/>
      <family val="2"/>
    </font>
    <font>
      <b/>
      <sz val="10"/>
      <name val="Arial MT"/>
    </font>
    <font>
      <b/>
      <u/>
      <sz val="9"/>
      <name val="Arial Nova"/>
      <family val="2"/>
    </font>
    <font>
      <sz val="10"/>
      <name val="Arial"/>
      <family val="2"/>
    </font>
    <font>
      <b/>
      <sz val="10"/>
      <name val="Arial Nova"/>
      <family val="2"/>
    </font>
    <font>
      <sz val="14"/>
      <name val="Arial Nova"/>
      <family val="2"/>
    </font>
    <font>
      <sz val="12"/>
      <name val="Arial Nova"/>
      <family val="2"/>
    </font>
    <font>
      <b/>
      <sz val="12"/>
      <name val="Arial Nova"/>
      <family val="2"/>
    </font>
    <font>
      <b/>
      <sz val="14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8" fillId="0" borderId="0" applyFont="0"/>
  </cellStyleXfs>
  <cellXfs count="113">
    <xf numFmtId="0" fontId="0" fillId="0" borderId="0" xfId="0"/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/>
    <xf numFmtId="164" fontId="4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8" fillId="0" borderId="0" xfId="1"/>
    <xf numFmtId="165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left"/>
    </xf>
    <xf numFmtId="164" fontId="2" fillId="0" borderId="1" xfId="1" applyNumberFormat="1" applyFont="1" applyBorder="1"/>
    <xf numFmtId="164" fontId="2" fillId="2" borderId="1" xfId="1" applyNumberFormat="1" applyFont="1" applyFill="1" applyBorder="1"/>
    <xf numFmtId="165" fontId="9" fillId="0" borderId="1" xfId="1" applyNumberFormat="1" applyFont="1" applyBorder="1"/>
    <xf numFmtId="0" fontId="2" fillId="0" borderId="1" xfId="1" applyFont="1" applyBorder="1"/>
    <xf numFmtId="166" fontId="6" fillId="0" borderId="1" xfId="1" applyNumberFormat="1" applyFont="1" applyBorder="1" applyAlignment="1">
      <alignment horizontal="left"/>
    </xf>
    <xf numFmtId="164" fontId="6" fillId="2" borderId="1" xfId="1" applyNumberFormat="1" applyFont="1" applyFill="1" applyBorder="1" applyAlignment="1">
      <alignment horizontal="left"/>
    </xf>
    <xf numFmtId="164" fontId="6" fillId="0" borderId="1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/>
    </xf>
    <xf numFmtId="164" fontId="6" fillId="0" borderId="1" xfId="1" applyNumberFormat="1" applyFont="1" applyBorder="1"/>
    <xf numFmtId="0" fontId="8" fillId="0" borderId="1" xfId="1" applyBorder="1"/>
    <xf numFmtId="167" fontId="0" fillId="0" borderId="0" xfId="0" applyNumberFormat="1"/>
    <xf numFmtId="10" fontId="0" fillId="0" borderId="0" xfId="0" applyNumberFormat="1"/>
    <xf numFmtId="164" fontId="10" fillId="0" borderId="1" xfId="0" applyNumberFormat="1" applyFont="1" applyBorder="1" applyAlignment="1">
      <alignment horizontal="left"/>
    </xf>
    <xf numFmtId="164" fontId="7" fillId="0" borderId="6" xfId="1" applyNumberFormat="1" applyFont="1" applyBorder="1" applyAlignment="1">
      <alignment horizontal="center" wrapText="1"/>
    </xf>
    <xf numFmtId="0" fontId="11" fillId="0" borderId="1" xfId="1" applyFont="1" applyBorder="1" applyAlignment="1">
      <alignment vertical="center"/>
    </xf>
    <xf numFmtId="166" fontId="7" fillId="0" borderId="6" xfId="1" applyNumberFormat="1" applyFont="1" applyBorder="1" applyAlignment="1">
      <alignment horizontal="center"/>
    </xf>
    <xf numFmtId="166" fontId="7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 wrapText="1"/>
    </xf>
    <xf numFmtId="166" fontId="12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11" fillId="0" borderId="1" xfId="1" applyFont="1" applyBorder="1"/>
    <xf numFmtId="166" fontId="6" fillId="0" borderId="0" xfId="1" applyNumberFormat="1" applyFont="1" applyAlignment="1">
      <alignment horizontal="left"/>
    </xf>
    <xf numFmtId="164" fontId="7" fillId="0" borderId="6" xfId="1" applyNumberFormat="1" applyFont="1" applyBorder="1" applyAlignment="1">
      <alignment horizontal="center"/>
    </xf>
    <xf numFmtId="0" fontId="6" fillId="0" borderId="1" xfId="1" applyFont="1" applyBorder="1"/>
    <xf numFmtId="164" fontId="5" fillId="0" borderId="6" xfId="1" applyNumberFormat="1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center"/>
    </xf>
    <xf numFmtId="164" fontId="12" fillId="0" borderId="6" xfId="1" applyNumberFormat="1" applyFont="1" applyBorder="1" applyAlignment="1">
      <alignment horizontal="center"/>
    </xf>
    <xf numFmtId="164" fontId="12" fillId="0" borderId="6" xfId="1" applyNumberFormat="1" applyFont="1" applyBorder="1" applyAlignment="1">
      <alignment horizontal="centerContinuous"/>
    </xf>
    <xf numFmtId="164" fontId="6" fillId="2" borderId="1" xfId="1" applyNumberFormat="1" applyFont="1" applyFill="1" applyBorder="1"/>
    <xf numFmtId="164" fontId="6" fillId="0" borderId="1" xfId="1" applyNumberFormat="1" applyFont="1" applyBorder="1" applyAlignment="1">
      <alignment horizontal="right"/>
    </xf>
    <xf numFmtId="0" fontId="6" fillId="0" borderId="10" xfId="1" applyFont="1" applyBorder="1"/>
    <xf numFmtId="0" fontId="6" fillId="2" borderId="10" xfId="1" applyFont="1" applyFill="1" applyBorder="1"/>
    <xf numFmtId="0" fontId="6" fillId="0" borderId="11" xfId="1" applyFont="1" applyBorder="1"/>
    <xf numFmtId="166" fontId="6" fillId="0" borderId="12" xfId="1" applyNumberFormat="1" applyFont="1" applyBorder="1" applyAlignment="1">
      <alignment horizontal="left"/>
    </xf>
    <xf numFmtId="0" fontId="6" fillId="0" borderId="13" xfId="1" applyFont="1" applyBorder="1"/>
    <xf numFmtId="164" fontId="6" fillId="0" borderId="14" xfId="1" applyNumberFormat="1" applyFont="1" applyBorder="1" applyAlignment="1">
      <alignment horizontal="left"/>
    </xf>
    <xf numFmtId="166" fontId="6" fillId="0" borderId="14" xfId="1" applyNumberFormat="1" applyFont="1" applyBorder="1" applyAlignment="1">
      <alignment horizontal="left"/>
    </xf>
    <xf numFmtId="164" fontId="13" fillId="0" borderId="15" xfId="0" applyNumberFormat="1" applyFont="1" applyBorder="1"/>
    <xf numFmtId="164" fontId="2" fillId="0" borderId="15" xfId="0" applyNumberFormat="1" applyFont="1" applyBorder="1"/>
    <xf numFmtId="164" fontId="2" fillId="0" borderId="15" xfId="0" applyNumberFormat="1" applyFont="1" applyBorder="1" applyAlignment="1">
      <alignment horizontal="left"/>
    </xf>
    <xf numFmtId="164" fontId="14" fillId="0" borderId="1" xfId="0" applyNumberFormat="1" applyFont="1" applyBorder="1" applyAlignment="1">
      <alignment horizontal="left"/>
    </xf>
    <xf numFmtId="166" fontId="10" fillId="0" borderId="1" xfId="0" applyNumberFormat="1" applyFont="1" applyBorder="1" applyAlignment="1">
      <alignment horizontal="left"/>
    </xf>
    <xf numFmtId="164" fontId="10" fillId="2" borderId="1" xfId="0" applyNumberFormat="1" applyFont="1" applyFill="1" applyBorder="1" applyAlignment="1">
      <alignment horizontal="left"/>
    </xf>
    <xf numFmtId="164" fontId="10" fillId="0" borderId="1" xfId="0" applyNumberFormat="1" applyFont="1" applyBorder="1"/>
    <xf numFmtId="165" fontId="13" fillId="0" borderId="15" xfId="0" applyNumberFormat="1" applyFont="1" applyBorder="1"/>
    <xf numFmtId="0" fontId="13" fillId="0" borderId="15" xfId="0" applyFont="1" applyBorder="1"/>
    <xf numFmtId="164" fontId="13" fillId="0" borderId="16" xfId="0" applyNumberFormat="1" applyFont="1" applyBorder="1"/>
    <xf numFmtId="165" fontId="13" fillId="0" borderId="13" xfId="0" applyNumberFormat="1" applyFont="1" applyBorder="1"/>
    <xf numFmtId="165" fontId="2" fillId="0" borderId="15" xfId="0" applyNumberFormat="1" applyFont="1" applyBorder="1" applyAlignment="1">
      <alignment horizontal="center"/>
    </xf>
    <xf numFmtId="164" fontId="2" fillId="2" borderId="15" xfId="0" applyNumberFormat="1" applyFont="1" applyFill="1" applyBorder="1"/>
    <xf numFmtId="164" fontId="2" fillId="0" borderId="17" xfId="0" applyNumberFormat="1" applyFont="1" applyBorder="1"/>
    <xf numFmtId="165" fontId="2" fillId="0" borderId="1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6" fillId="0" borderId="15" xfId="0" applyNumberFormat="1" applyFont="1" applyBorder="1"/>
    <xf numFmtId="164" fontId="6" fillId="0" borderId="15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left"/>
    </xf>
    <xf numFmtId="164" fontId="16" fillId="0" borderId="1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left"/>
    </xf>
    <xf numFmtId="164" fontId="15" fillId="0" borderId="1" xfId="0" applyNumberFormat="1" applyFont="1" applyBorder="1" applyAlignment="1">
      <alignment horizontal="left"/>
    </xf>
    <xf numFmtId="0" fontId="0" fillId="0" borderId="0" xfId="0" applyAlignment="1">
      <alignment horizontal="left" indent="1"/>
    </xf>
    <xf numFmtId="164" fontId="15" fillId="0" borderId="15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2" fillId="0" borderId="0" xfId="0" applyNumberFormat="1" applyFont="1" applyBorder="1"/>
    <xf numFmtId="164" fontId="10" fillId="0" borderId="5" xfId="0" applyNumberFormat="1" applyFont="1" applyBorder="1" applyAlignment="1">
      <alignment horizontal="left"/>
    </xf>
    <xf numFmtId="164" fontId="13" fillId="0" borderId="0" xfId="0" applyNumberFormat="1" applyFont="1" applyBorder="1"/>
    <xf numFmtId="164" fontId="2" fillId="0" borderId="0" xfId="0" applyNumberFormat="1" applyFont="1" applyBorder="1" applyAlignment="1">
      <alignment horizontal="left"/>
    </xf>
    <xf numFmtId="164" fontId="16" fillId="0" borderId="0" xfId="0" applyNumberFormat="1" applyFont="1" applyBorder="1" applyAlignment="1">
      <alignment horizontal="left"/>
    </xf>
    <xf numFmtId="164" fontId="15" fillId="0" borderId="0" xfId="0" applyNumberFormat="1" applyFont="1" applyBorder="1" applyAlignment="1">
      <alignment horizontal="left"/>
    </xf>
    <xf numFmtId="164" fontId="10" fillId="0" borderId="15" xfId="0" applyNumberFormat="1" applyFont="1" applyBorder="1"/>
    <xf numFmtId="164" fontId="4" fillId="0" borderId="18" xfId="0" applyNumberFormat="1" applyFont="1" applyBorder="1"/>
    <xf numFmtId="164" fontId="2" fillId="0" borderId="2" xfId="0" applyNumberFormat="1" applyFont="1" applyBorder="1" applyAlignment="1">
      <alignment horizontal="left"/>
    </xf>
    <xf numFmtId="164" fontId="13" fillId="0" borderId="15" xfId="0" applyNumberFormat="1" applyFont="1" applyBorder="1" applyAlignment="1">
      <alignment horizontal="left"/>
    </xf>
    <xf numFmtId="164" fontId="6" fillId="0" borderId="15" xfId="0" applyNumberFormat="1" applyFont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AA6AC257-480B-415F-B10B-D2D86E6D46B1}"/>
  </cellStyles>
  <dxfs count="0"/>
  <tableStyles count="0" defaultTableStyle="TableStyleMedium2" defaultPivotStyle="PivotStyleLight16"/>
  <colors>
    <mruColors>
      <color rgb="FFFDB5B5"/>
      <color rgb="FFC0A09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[Quality_data.xlsx]HAMMER!PivotTable3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YTD TOP 5 HAMMER SCRAP/QTY</a:t>
            </a:r>
          </a:p>
        </c:rich>
      </c:tx>
      <c:layout>
        <c:manualLayout>
          <c:xMode val="edge"/>
          <c:yMode val="edge"/>
          <c:x val="0.36632131509877053"/>
          <c:y val="5.7151579605163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DB5B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250864E2-C9C4-47B2-8F9E-A775BEEE0C42}" type="VALUE">
                  <a:rPr lang="en-US" baseline="0"/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40431359123588"/>
          <c:y val="0.14146323809742209"/>
          <c:w val="0.72682177336528586"/>
          <c:h val="0.746820227124889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HAMMER!$B$5:$B$6</c:f>
              <c:strCache>
                <c:ptCount val="1"/>
                <c:pt idx="0">
                  <c:v>BAD.FRG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HAMMER!$B$7:$B$12</c:f>
              <c:numCache>
                <c:formatCode>General</c:formatCode>
                <c:ptCount val="5"/>
                <c:pt idx="0">
                  <c:v>36</c:v>
                </c:pt>
                <c:pt idx="1">
                  <c:v>82</c:v>
                </c:pt>
                <c:pt idx="2">
                  <c:v>65</c:v>
                </c:pt>
                <c:pt idx="3">
                  <c:v>49</c:v>
                </c:pt>
                <c:pt idx="4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D-4047-873A-E2F061C01BCF}"/>
            </c:ext>
          </c:extLst>
        </c:ser>
        <c:ser>
          <c:idx val="1"/>
          <c:order val="1"/>
          <c:tx>
            <c:strRef>
              <c:f>HAMMER!$C$5:$C$6</c:f>
              <c:strCache>
                <c:ptCount val="1"/>
                <c:pt idx="0">
                  <c:v>BENT/ OFFSET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HAMMER!$C$7:$C$12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A-4FE7-9A2F-5D2FEB7DEA46}"/>
            </c:ext>
          </c:extLst>
        </c:ser>
        <c:ser>
          <c:idx val="2"/>
          <c:order val="2"/>
          <c:tx>
            <c:strRef>
              <c:f>HAMMER!$D$5:$D$6</c:f>
              <c:strCache>
                <c:ptCount val="1"/>
                <c:pt idx="0">
                  <c:v>CLW END.SHRT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HAMMER!$D$7:$D$12</c:f>
              <c:numCache>
                <c:formatCode>General</c:formatCode>
                <c:ptCount val="5"/>
                <c:pt idx="2">
                  <c:v>38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1A-4FE7-9A2F-5D2FEB7DEA46}"/>
            </c:ext>
          </c:extLst>
        </c:ser>
        <c:ser>
          <c:idx val="3"/>
          <c:order val="3"/>
          <c:tx>
            <c:strRef>
              <c:f>HAMMER!$E$5:$E$6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HAMMER!$E$7:$E$12</c:f>
              <c:numCache>
                <c:formatCode>General</c:formatCode>
                <c:ptCount val="5"/>
                <c:pt idx="2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1A-4FE7-9A2F-5D2FEB7DEA46}"/>
            </c:ext>
          </c:extLst>
        </c:ser>
        <c:ser>
          <c:idx val="4"/>
          <c:order val="4"/>
          <c:tx>
            <c:strRef>
              <c:f>HAMMER!$F$5:$F$6</c:f>
              <c:strCache>
                <c:ptCount val="1"/>
                <c:pt idx="0">
                  <c:v>DAM.EYE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HAMMER!$F$7:$F$12</c:f>
              <c:numCache>
                <c:formatCode>General</c:formatCode>
                <c:ptCount val="5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81A-4FE7-9A2F-5D2FEB7DEA46}"/>
            </c:ext>
          </c:extLst>
        </c:ser>
        <c:ser>
          <c:idx val="5"/>
          <c:order val="5"/>
          <c:tx>
            <c:strRef>
              <c:f>HAMMER!$G$5:$G$6</c:f>
              <c:strCache>
                <c:ptCount val="1"/>
                <c:pt idx="0">
                  <c:v>MOULDING PROBLEM</c:v>
                </c:pt>
              </c:strCache>
            </c:strRef>
          </c:tx>
          <c:spPr>
            <a:solidFill>
              <a:srgbClr val="FDB5B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HAMMER!$G$7:$G$12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C-B81A-4FE7-9A2F-5D2FEB7DEA46}"/>
            </c:ext>
          </c:extLst>
        </c:ser>
        <c:ser>
          <c:idx val="6"/>
          <c:order val="6"/>
          <c:tx>
            <c:strRef>
              <c:f>HAMMER!$H$5:$H$6</c:f>
              <c:strCache>
                <c:ptCount val="1"/>
                <c:pt idx="0">
                  <c:v>WL.DAM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HAMMER!$A$7:$A$12</c:f>
              <c:strCache>
                <c:ptCount val="5"/>
                <c:pt idx="0">
                  <c:v>Ham Club 1.8kg S/C Soft Grip</c:v>
                </c:pt>
                <c:pt idx="1">
                  <c:v>Ham Drill 1.8kg P/Handle Black</c:v>
                </c:pt>
                <c:pt idx="2">
                  <c:v>Ham Claw 500g Poly</c:v>
                </c:pt>
                <c:pt idx="3">
                  <c:v>Ham Claw 700g S/C Poly Handle</c:v>
                </c:pt>
                <c:pt idx="4">
                  <c:v>Axe 0.9kg Composite</c:v>
                </c:pt>
              </c:strCache>
            </c:strRef>
          </c:cat>
          <c:val>
            <c:numRef>
              <c:f>HAMMER!$H$7:$H$12</c:f>
              <c:numCache>
                <c:formatCode>General</c:formatCode>
                <c:ptCount val="5"/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81A-4FE7-9A2F-5D2FEB7DEA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90487221233138"/>
          <c:y val="0.33657608588400129"/>
          <c:w val="0.22898936126519184"/>
          <c:h val="0.34793808668653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[Quality_data.xlsx]IRONTOOL!PivotTable3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200" b="1" i="0" baseline="0">
                <a:effectLst/>
              </a:rPr>
              <a:t>TOP 5 IRON TOOL SCRAP/QTY</a:t>
            </a:r>
            <a:endParaRPr lang="en-ZA" sz="1200">
              <a:effectLst/>
            </a:endParaRPr>
          </a:p>
        </c:rich>
      </c:tx>
      <c:layout>
        <c:manualLayout>
          <c:xMode val="edge"/>
          <c:yMode val="edge"/>
          <c:x val="0.3793645867038522"/>
          <c:y val="3.0111011849112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43653346935043"/>
          <c:y val="0.10398963981745026"/>
          <c:w val="0.64294719550839485"/>
          <c:h val="0.7405195326837443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IRONTOOL!$B$4:$B$5</c:f>
              <c:strCache>
                <c:ptCount val="1"/>
                <c:pt idx="0">
                  <c:v>WL.DAM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IRONTOOL!$A$6:$A$11</c:f>
              <c:strCache>
                <c:ptCount val="5"/>
                <c:pt idx="0">
                  <c:v>Chisel Flat Cold 25x250</c:v>
                </c:pt>
                <c:pt idx="1">
                  <c:v>Chisel Flat Cold 25x350</c:v>
                </c:pt>
                <c:pt idx="2">
                  <c:v>Bolst  Electrician 55mm </c:v>
                </c:pt>
                <c:pt idx="3">
                  <c:v>Bolster 100mm</c:v>
                </c:pt>
                <c:pt idx="4">
                  <c:v>Chisel Flat Cold 25x300</c:v>
                </c:pt>
              </c:strCache>
            </c:strRef>
          </c:cat>
          <c:val>
            <c:numRef>
              <c:f>IRONTOOL!$B$6:$B$11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61</c:v>
                </c:pt>
                <c:pt idx="3">
                  <c:v>48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4-44D8-82E7-5F9DA299C8FC}"/>
            </c:ext>
          </c:extLst>
        </c:ser>
        <c:ser>
          <c:idx val="1"/>
          <c:order val="1"/>
          <c:tx>
            <c:strRef>
              <c:f>IRONTOOL!$C$4:$C$5</c:f>
              <c:strCache>
                <c:ptCount val="1"/>
                <c:pt idx="0">
                  <c:v>BAD.FRG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IRONTOOL!$A$6:$A$11</c:f>
              <c:strCache>
                <c:ptCount val="5"/>
                <c:pt idx="0">
                  <c:v>Chisel Flat Cold 25x250</c:v>
                </c:pt>
                <c:pt idx="1">
                  <c:v>Chisel Flat Cold 25x350</c:v>
                </c:pt>
                <c:pt idx="2">
                  <c:v>Bolst  Electrician 55mm </c:v>
                </c:pt>
                <c:pt idx="3">
                  <c:v>Bolster 100mm</c:v>
                </c:pt>
                <c:pt idx="4">
                  <c:v>Chisel Flat Cold 25x300</c:v>
                </c:pt>
              </c:strCache>
            </c:strRef>
          </c:cat>
          <c:val>
            <c:numRef>
              <c:f>IRONTOOL!$C$6:$C$11</c:f>
              <c:numCache>
                <c:formatCode>General</c:formatCode>
                <c:ptCount val="5"/>
                <c:pt idx="0">
                  <c:v>1</c:v>
                </c:pt>
                <c:pt idx="1">
                  <c:v>13</c:v>
                </c:pt>
                <c:pt idx="2">
                  <c:v>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3-4935-BEAF-3D1237A7D2AA}"/>
            </c:ext>
          </c:extLst>
        </c:ser>
        <c:ser>
          <c:idx val="2"/>
          <c:order val="2"/>
          <c:tx>
            <c:strRef>
              <c:f>IRONTOOL!$D$4:$D$5</c:f>
              <c:strCache>
                <c:ptCount val="1"/>
                <c:pt idx="0">
                  <c:v>BRKN.TIP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IRONTOOL!$A$6:$A$11</c:f>
              <c:strCache>
                <c:ptCount val="5"/>
                <c:pt idx="0">
                  <c:v>Chisel Flat Cold 25x250</c:v>
                </c:pt>
                <c:pt idx="1">
                  <c:v>Chisel Flat Cold 25x350</c:v>
                </c:pt>
                <c:pt idx="2">
                  <c:v>Bolst  Electrician 55mm </c:v>
                </c:pt>
                <c:pt idx="3">
                  <c:v>Bolster 100mm</c:v>
                </c:pt>
                <c:pt idx="4">
                  <c:v>Chisel Flat Cold 25x300</c:v>
                </c:pt>
              </c:strCache>
            </c:strRef>
          </c:cat>
          <c:val>
            <c:numRef>
              <c:f>IRONTOOL!$D$6:$D$11</c:f>
              <c:numCache>
                <c:formatCode>General</c:formatCode>
                <c:ptCount val="5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33-4935-BEAF-3D1237A7D2AA}"/>
            </c:ext>
          </c:extLst>
        </c:ser>
        <c:ser>
          <c:idx val="3"/>
          <c:order val="3"/>
          <c:tx>
            <c:strRef>
              <c:f>IRONTOOL!$E$4:$E$5</c:f>
              <c:strCache>
                <c:ptCount val="1"/>
                <c:pt idx="0">
                  <c:v>BENT/ OFFSET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IRONTOOL!$A$6:$A$11</c:f>
              <c:strCache>
                <c:ptCount val="5"/>
                <c:pt idx="0">
                  <c:v>Chisel Flat Cold 25x250</c:v>
                </c:pt>
                <c:pt idx="1">
                  <c:v>Chisel Flat Cold 25x350</c:v>
                </c:pt>
                <c:pt idx="2">
                  <c:v>Bolst  Electrician 55mm </c:v>
                </c:pt>
                <c:pt idx="3">
                  <c:v>Bolster 100mm</c:v>
                </c:pt>
                <c:pt idx="4">
                  <c:v>Chisel Flat Cold 25x300</c:v>
                </c:pt>
              </c:strCache>
            </c:strRef>
          </c:cat>
          <c:val>
            <c:numRef>
              <c:f>IRONTOOL!$E$6:$E$11</c:f>
              <c:numCache>
                <c:formatCode>General</c:formatCode>
                <c:ptCount val="5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33-4935-BEAF-3D1237A7D2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29959478862528"/>
          <c:y val="0.10867028165014993"/>
          <c:w val="0.10970718601003276"/>
          <c:h val="0.30047619047619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[Quality_data.xlsx]HANDLE!PivotTable3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baseline="0">
                <a:effectLst/>
              </a:rPr>
              <a:t>TOP 5 HANDLE SCRAP/QTY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1259478991718831"/>
          <c:y val="3.1948578175138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825563839918238"/>
          <c:y val="0.18664845684465819"/>
          <c:w val="0.57694732848659402"/>
          <c:h val="0.6848518808075576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HANDLE!$B$4:$B$5</c:f>
              <c:strCache>
                <c:ptCount val="1"/>
                <c:pt idx="0">
                  <c:v>BRKN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HANDLE!$A$6:$A$11</c:f>
              <c:strCache>
                <c:ptCount val="5"/>
                <c:pt idx="0">
                  <c:v>HDL Axe 1.8kg Poly S/C Yellow</c:v>
                </c:pt>
                <c:pt idx="1">
                  <c:v>HDL BP  700/1100g Poly  N/C  Soft Grip</c:v>
                </c:pt>
                <c:pt idx="2">
                  <c:v>Hdl Rake Steel Plastic</c:v>
                </c:pt>
                <c:pt idx="3">
                  <c:v>HDL BP 500g Poly N/C Soft Grip</c:v>
                </c:pt>
                <c:pt idx="4">
                  <c:v>HDL Claw  Poly S/C Soft Grip</c:v>
                </c:pt>
              </c:strCache>
            </c:strRef>
          </c:cat>
          <c:val>
            <c:numRef>
              <c:f>HANDLE!$B$6:$B$11</c:f>
              <c:numCache>
                <c:formatCode>General</c:formatCode>
                <c:ptCount val="5"/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5-4DCA-9931-9C5C58C3E160}"/>
            </c:ext>
          </c:extLst>
        </c:ser>
        <c:ser>
          <c:idx val="1"/>
          <c:order val="1"/>
          <c:tx>
            <c:strRef>
              <c:f>HANDLE!$C$4:$C$5</c:f>
              <c:strCache>
                <c:ptCount val="1"/>
                <c:pt idx="0">
                  <c:v>MOULDING PROBLEM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HANDLE!$A$6:$A$11</c:f>
              <c:strCache>
                <c:ptCount val="5"/>
                <c:pt idx="0">
                  <c:v>HDL Axe 1.8kg Poly S/C Yellow</c:v>
                </c:pt>
                <c:pt idx="1">
                  <c:v>HDL BP  700/1100g Poly  N/C  Soft Grip</c:v>
                </c:pt>
                <c:pt idx="2">
                  <c:v>Hdl Rake Steel Plastic</c:v>
                </c:pt>
                <c:pt idx="3">
                  <c:v>HDL BP 500g Poly N/C Soft Grip</c:v>
                </c:pt>
                <c:pt idx="4">
                  <c:v>HDL Claw  Poly S/C Soft Grip</c:v>
                </c:pt>
              </c:strCache>
            </c:strRef>
          </c:cat>
          <c:val>
            <c:numRef>
              <c:f>HANDLE!$C$6:$C$11</c:f>
              <c:numCache>
                <c:formatCode>General</c:formatCode>
                <c:ptCount val="5"/>
                <c:pt idx="0">
                  <c:v>49</c:v>
                </c:pt>
                <c:pt idx="1">
                  <c:v>1</c:v>
                </c:pt>
                <c:pt idx="2">
                  <c:v>67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C-4E86-83ED-96C38BFAB565}"/>
            </c:ext>
          </c:extLst>
        </c:ser>
        <c:ser>
          <c:idx val="2"/>
          <c:order val="2"/>
          <c:tx>
            <c:strRef>
              <c:f>HANDLE!$D$4:$D$5</c:f>
              <c:strCache>
                <c:ptCount val="1"/>
                <c:pt idx="0">
                  <c:v>POOR ASSMBLY</c:v>
                </c:pt>
              </c:strCache>
            </c:strRef>
          </c:tx>
          <c:spPr>
            <a:solidFill>
              <a:srgbClr val="FDB5B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HANDLE!$A$6:$A$11</c:f>
              <c:strCache>
                <c:ptCount val="5"/>
                <c:pt idx="0">
                  <c:v>HDL Axe 1.8kg Poly S/C Yellow</c:v>
                </c:pt>
                <c:pt idx="1">
                  <c:v>HDL BP  700/1100g Poly  N/C  Soft Grip</c:v>
                </c:pt>
                <c:pt idx="2">
                  <c:v>Hdl Rake Steel Plastic</c:v>
                </c:pt>
                <c:pt idx="3">
                  <c:v>HDL BP 500g Poly N/C Soft Grip</c:v>
                </c:pt>
                <c:pt idx="4">
                  <c:v>HDL Claw  Poly S/C Soft Grip</c:v>
                </c:pt>
              </c:strCache>
            </c:strRef>
          </c:cat>
          <c:val>
            <c:numRef>
              <c:f>HANDLE!$D$6:$D$11</c:f>
              <c:numCache>
                <c:formatCode>General</c:formatCode>
                <c:ptCount val="5"/>
                <c:pt idx="0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DC-4E86-83ED-96C38BFAB565}"/>
            </c:ext>
          </c:extLst>
        </c:ser>
        <c:ser>
          <c:idx val="3"/>
          <c:order val="3"/>
          <c:tx>
            <c:strRef>
              <c:f>HANDLE!$E$4:$E$5</c:f>
              <c:strCache>
                <c:ptCount val="1"/>
                <c:pt idx="0">
                  <c:v>ECR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HANDLE!$A$6:$A$11</c:f>
              <c:strCache>
                <c:ptCount val="5"/>
                <c:pt idx="0">
                  <c:v>HDL Axe 1.8kg Poly S/C Yellow</c:v>
                </c:pt>
                <c:pt idx="1">
                  <c:v>HDL BP  700/1100g Poly  N/C  Soft Grip</c:v>
                </c:pt>
                <c:pt idx="2">
                  <c:v>Hdl Rake Steel Plastic</c:v>
                </c:pt>
                <c:pt idx="3">
                  <c:v>HDL BP 500g Poly N/C Soft Grip</c:v>
                </c:pt>
                <c:pt idx="4">
                  <c:v>HDL Claw  Poly S/C Soft Grip</c:v>
                </c:pt>
              </c:strCache>
            </c:strRef>
          </c:cat>
          <c:val>
            <c:numRef>
              <c:f>HANDLE!$E$6:$E$11</c:f>
              <c:numCache>
                <c:formatCode>General</c:formatCode>
                <c:ptCount val="5"/>
                <c:pt idx="1">
                  <c:v>80</c:v>
                </c:pt>
                <c:pt idx="3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DC-4E86-83ED-96C38BFAB5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23753667959652"/>
          <c:y val="0.54500123442745563"/>
          <c:w val="0.19311097174800052"/>
          <c:h val="0.3151968306680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[Quality_data.xlsx]HAMMER CST!PivotTable3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100" b="1"/>
              <a:t>TOP</a:t>
            </a:r>
            <a:r>
              <a:rPr lang="en-ZA" sz="1100" b="1" baseline="0"/>
              <a:t> 5 HAMMER SCRAP/VALUE</a:t>
            </a:r>
            <a:endParaRPr lang="en-ZA" sz="1100" b="1"/>
          </a:p>
        </c:rich>
      </c:tx>
      <c:layout>
        <c:manualLayout>
          <c:xMode val="edge"/>
          <c:yMode val="edge"/>
          <c:x val="0.36632131509877053"/>
          <c:y val="5.7151579605163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862631193890362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104385323150623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</c:pivotFmt>
      <c:pivotFmt>
        <c:idx val="35"/>
        <c:spPr>
          <a:solidFill>
            <a:schemeClr val="accent3"/>
          </a:solidFill>
          <a:ln>
            <a:noFill/>
          </a:ln>
          <a:effectLst/>
        </c:spPr>
      </c:pivotFmt>
      <c:pivotFmt>
        <c:idx val="36"/>
        <c:spPr>
          <a:solidFill>
            <a:schemeClr val="accent3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4"/>
          </a:solidFill>
          <a:ln>
            <a:noFill/>
          </a:ln>
          <a:effectLst/>
        </c:spPr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2607966401254857E-2"/>
              <c:y val="-7.8895488016738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2776992448514737E-2"/>
              <c:y val="-1.446400571364041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8241173748558506E-3"/>
              <c:y val="-1.4464005713640416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</c:pivotFmt>
      <c:pivotFmt>
        <c:idx val="5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5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843310078293444"/>
          <c:y val="0.14540811176073917"/>
          <c:w val="0.5586625952538441"/>
          <c:h val="0.758229827463143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'HAMMER CST'!$B$4:$B$5</c:f>
              <c:strCache>
                <c:ptCount val="1"/>
                <c:pt idx="0">
                  <c:v>BAD.FRG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B1C4-405B-8949-43AA2D1496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1C4-405B-8949-43AA2D14963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1C4-405B-8949-43AA2D1496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CST'!$B$6:$B$11</c:f>
              <c:numCache>
                <c:formatCode>"R"#,##0.00</c:formatCode>
                <c:ptCount val="5"/>
                <c:pt idx="0">
                  <c:v>4700.1500000000005</c:v>
                </c:pt>
                <c:pt idx="1">
                  <c:v>9375.06</c:v>
                </c:pt>
                <c:pt idx="2">
                  <c:v>4201.75</c:v>
                </c:pt>
                <c:pt idx="3">
                  <c:v>8950</c:v>
                </c:pt>
                <c:pt idx="4">
                  <c:v>29371.98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3-4D30-91EA-9099460CC840}"/>
            </c:ext>
          </c:extLst>
        </c:ser>
        <c:ser>
          <c:idx val="1"/>
          <c:order val="1"/>
          <c:tx>
            <c:strRef>
              <c:f>'HAMMER CST'!$C$4:$C$5</c:f>
              <c:strCache>
                <c:ptCount val="1"/>
                <c:pt idx="0">
                  <c:v>CLW END.SHRT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1C4-405B-8949-43AA2D1496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C4-405B-8949-43AA2D1496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CST'!$C$6:$C$11</c:f>
              <c:numCache>
                <c:formatCode>"R"#,##0.00</c:formatCode>
                <c:ptCount val="5"/>
                <c:pt idx="0">
                  <c:v>2747.78</c:v>
                </c:pt>
                <c:pt idx="2">
                  <c:v>5916.75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4-405B-8949-43AA2D149636}"/>
            </c:ext>
          </c:extLst>
        </c:ser>
        <c:ser>
          <c:idx val="2"/>
          <c:order val="2"/>
          <c:tx>
            <c:strRef>
              <c:f>'HAMMER CST'!$D$4:$D$5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D2-4968-8B06-A51A7146CF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1C4-405B-8949-43AA2D14963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D2-4968-8B06-A51A7146CF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CST'!$D$6:$D$11</c:f>
              <c:numCache>
                <c:formatCode>"R"#,##0.00</c:formatCode>
                <c:ptCount val="5"/>
                <c:pt idx="0">
                  <c:v>216.93</c:v>
                </c:pt>
                <c:pt idx="3">
                  <c:v>1790</c:v>
                </c:pt>
                <c:pt idx="4">
                  <c:v>307.56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C4-405B-8949-43AA2D149636}"/>
            </c:ext>
          </c:extLst>
        </c:ser>
        <c:ser>
          <c:idx val="3"/>
          <c:order val="3"/>
          <c:tx>
            <c:strRef>
              <c:f>'HAMMER CST'!$E$4:$E$5</c:f>
              <c:strCache>
                <c:ptCount val="1"/>
                <c:pt idx="0">
                  <c:v>TEST SAMPLES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CST'!$E$6:$E$11</c:f>
              <c:numCache>
                <c:formatCode>"R"#,##0.00</c:formatCode>
                <c:ptCount val="5"/>
                <c:pt idx="0">
                  <c:v>650.79</c:v>
                </c:pt>
                <c:pt idx="1">
                  <c:v>114.33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C4-405B-8949-43AA2D149636}"/>
            </c:ext>
          </c:extLst>
        </c:ser>
        <c:ser>
          <c:idx val="4"/>
          <c:order val="4"/>
          <c:tx>
            <c:strRef>
              <c:f>'HAMMER CST'!$F$4:$F$5</c:f>
              <c:strCache>
                <c:ptCount val="1"/>
                <c:pt idx="0">
                  <c:v>WL.DAM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CST'!$F$6:$F$11</c:f>
              <c:numCache>
                <c:formatCode>"R"#,##0.00</c:formatCode>
                <c:ptCount val="5"/>
                <c:pt idx="0">
                  <c:v>144.62</c:v>
                </c:pt>
                <c:pt idx="2">
                  <c:v>85.75</c:v>
                </c:pt>
                <c:pt idx="4">
                  <c:v>76.89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C4-405B-8949-43AA2D149636}"/>
            </c:ext>
          </c:extLst>
        </c:ser>
        <c:ser>
          <c:idx val="5"/>
          <c:order val="5"/>
          <c:tx>
            <c:strRef>
              <c:f>'HAMMER CST'!$G$4:$G$5</c:f>
              <c:strCache>
                <c:ptCount val="1"/>
                <c:pt idx="0">
                  <c:v>BENT/ OFFSET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CST'!$G$6:$G$11</c:f>
              <c:numCache>
                <c:formatCode>"R"#,##0.00</c:formatCode>
                <c:ptCount val="5"/>
                <c:pt idx="4">
                  <c:v>153.78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9-4274-94CF-E9FBD4477297}"/>
            </c:ext>
          </c:extLst>
        </c:ser>
        <c:ser>
          <c:idx val="6"/>
          <c:order val="6"/>
          <c:tx>
            <c:strRef>
              <c:f>'HAMMER CST'!$H$4:$H$5</c:f>
              <c:strCache>
                <c:ptCount val="1"/>
                <c:pt idx="0">
                  <c:v>MOULDING PROBLEM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AAD2-4968-8B06-A51A7146CF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CST'!$H$6:$H$11</c:f>
              <c:numCache>
                <c:formatCode>"R"#,##0.00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95E9-4274-94CF-E9FBD4477297}"/>
            </c:ext>
          </c:extLst>
        </c:ser>
        <c:ser>
          <c:idx val="7"/>
          <c:order val="7"/>
          <c:tx>
            <c:strRef>
              <c:f>'HAMMER CST'!$I$4:$I$5</c:f>
              <c:strCache>
                <c:ptCount val="1"/>
                <c:pt idx="0">
                  <c:v>DAM.EYE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'HAMMER CST'!$A$6:$A$11</c:f>
              <c:strCache>
                <c:ptCount val="5"/>
                <c:pt idx="0">
                  <c:v>Ham Claw 500g Poly</c:v>
                </c:pt>
                <c:pt idx="1">
                  <c:v>Ham Drill 1.8kg P/Handle Black</c:v>
                </c:pt>
                <c:pt idx="2">
                  <c:v>Ham Claw 700g S/C Poly Handle</c:v>
                </c:pt>
                <c:pt idx="3">
                  <c:v>Ham Sledge 6.3kg P/Handle Black CCL</c:v>
                </c:pt>
                <c:pt idx="4">
                  <c:v>Axe 0.9kg Composite</c:v>
                </c:pt>
              </c:strCache>
            </c:strRef>
          </c:cat>
          <c:val>
            <c:numRef>
              <c:f>'HAMMER CST'!$I$6:$I$11</c:f>
              <c:numCache>
                <c:formatCode>"R"#,##0.00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95E9-4274-94CF-E9FBD44772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[Quality_data.xlsx]IRONTOOL CST!PivotTable3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200" b="1" i="0" baseline="0">
                <a:effectLst/>
              </a:rPr>
              <a:t>TOP 5 IRON TOOL SCRAP/Value</a:t>
            </a:r>
            <a:endParaRPr lang="en-ZA" sz="1200">
              <a:effectLst/>
            </a:endParaRPr>
          </a:p>
        </c:rich>
      </c:tx>
      <c:layout>
        <c:manualLayout>
          <c:xMode val="edge"/>
          <c:yMode val="edge"/>
          <c:x val="0.40360703132183051"/>
          <c:y val="2.6592981945858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43653346935043"/>
          <c:y val="0.10398963981745026"/>
          <c:w val="0.64294719550839485"/>
          <c:h val="0.7405195326837443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'IRONTOOL CST'!$B$4:$B$5</c:f>
              <c:strCache>
                <c:ptCount val="1"/>
                <c:pt idx="0">
                  <c:v>WL.DAM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'IRONTOOL CST'!$A$6:$A$11</c:f>
              <c:strCache>
                <c:ptCount val="5"/>
                <c:pt idx="0">
                  <c:v>Chisel Flat Cold 25x300</c:v>
                </c:pt>
                <c:pt idx="1">
                  <c:v>Bolst  Electrician 55mm </c:v>
                </c:pt>
                <c:pt idx="2">
                  <c:v>Hammer Chipping</c:v>
                </c:pt>
                <c:pt idx="3">
                  <c:v>Bolster 100mm</c:v>
                </c:pt>
                <c:pt idx="4">
                  <c:v>Chisel Flat Cold 25x350</c:v>
                </c:pt>
              </c:strCache>
            </c:strRef>
          </c:cat>
          <c:val>
            <c:numRef>
              <c:f>'IRONTOOL CST'!$B$6:$B$11</c:f>
              <c:numCache>
                <c:formatCode>"R"#,##0.00</c:formatCode>
                <c:ptCount val="5"/>
                <c:pt idx="0">
                  <c:v>956.75000000000011</c:v>
                </c:pt>
                <c:pt idx="1">
                  <c:v>1098.8800000000001</c:v>
                </c:pt>
                <c:pt idx="3">
                  <c:v>738.75</c:v>
                </c:pt>
                <c:pt idx="4">
                  <c:v>1209.06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2-4DB2-AB81-102857BC4055}"/>
            </c:ext>
          </c:extLst>
        </c:ser>
        <c:ser>
          <c:idx val="1"/>
          <c:order val="1"/>
          <c:tx>
            <c:strRef>
              <c:f>'IRONTOOL CST'!$C$4:$C$5</c:f>
              <c:strCache>
                <c:ptCount val="1"/>
                <c:pt idx="0">
                  <c:v>BRKN.TIP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'IRONTOOL CST'!$A$6:$A$11</c:f>
              <c:strCache>
                <c:ptCount val="5"/>
                <c:pt idx="0">
                  <c:v>Chisel Flat Cold 25x300</c:v>
                </c:pt>
                <c:pt idx="1">
                  <c:v>Bolst  Electrician 55mm </c:v>
                </c:pt>
                <c:pt idx="2">
                  <c:v>Hammer Chipping</c:v>
                </c:pt>
                <c:pt idx="3">
                  <c:v>Bolster 100mm</c:v>
                </c:pt>
                <c:pt idx="4">
                  <c:v>Chisel Flat Cold 25x350</c:v>
                </c:pt>
              </c:strCache>
            </c:strRef>
          </c:cat>
          <c:val>
            <c:numRef>
              <c:f>'IRONTOOL CST'!$C$6:$C$11</c:f>
              <c:numCache>
                <c:formatCode>"R"#,##0.00</c:formatCode>
                <c:ptCount val="5"/>
                <c:pt idx="2">
                  <c:v>1214.3599999999999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A-47A2-9513-4B7BA3769465}"/>
            </c:ext>
          </c:extLst>
        </c:ser>
        <c:ser>
          <c:idx val="2"/>
          <c:order val="2"/>
          <c:tx>
            <c:strRef>
              <c:f>'IRONTOOL CST'!$D$4:$D$5</c:f>
              <c:strCache>
                <c:ptCount val="1"/>
                <c:pt idx="0">
                  <c:v>BAD.FRG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'IRONTOOL CST'!$A$6:$A$11</c:f>
              <c:strCache>
                <c:ptCount val="5"/>
                <c:pt idx="0">
                  <c:v>Chisel Flat Cold 25x300</c:v>
                </c:pt>
                <c:pt idx="1">
                  <c:v>Bolst  Electrician 55mm </c:v>
                </c:pt>
                <c:pt idx="2">
                  <c:v>Hammer Chipping</c:v>
                </c:pt>
                <c:pt idx="3">
                  <c:v>Bolster 100mm</c:v>
                </c:pt>
                <c:pt idx="4">
                  <c:v>Chisel Flat Cold 25x350</c:v>
                </c:pt>
              </c:strCache>
            </c:strRef>
          </c:cat>
          <c:val>
            <c:numRef>
              <c:f>'IRONTOOL CST'!$D$6:$D$11</c:f>
              <c:numCache>
                <c:formatCode>"R"#,##0.00</c:formatCode>
                <c:ptCount val="5"/>
                <c:pt idx="1">
                  <c:v>64.64</c:v>
                </c:pt>
                <c:pt idx="3">
                  <c:v>541.75</c:v>
                </c:pt>
                <c:pt idx="4">
                  <c:v>89.56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0A-47A2-9513-4B7BA3769465}"/>
            </c:ext>
          </c:extLst>
        </c:ser>
        <c:ser>
          <c:idx val="3"/>
          <c:order val="3"/>
          <c:tx>
            <c:strRef>
              <c:f>'IRONTOOL CST'!$E$4:$E$5</c:f>
              <c:strCache>
                <c:ptCount val="1"/>
                <c:pt idx="0">
                  <c:v>BENT/ OFFSET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'IRONTOOL CST'!$A$6:$A$11</c:f>
              <c:strCache>
                <c:ptCount val="5"/>
                <c:pt idx="0">
                  <c:v>Chisel Flat Cold 25x300</c:v>
                </c:pt>
                <c:pt idx="1">
                  <c:v>Bolst  Electrician 55mm </c:v>
                </c:pt>
                <c:pt idx="2">
                  <c:v>Hammer Chipping</c:v>
                </c:pt>
                <c:pt idx="3">
                  <c:v>Bolster 100mm</c:v>
                </c:pt>
                <c:pt idx="4">
                  <c:v>Chisel Flat Cold 25x350</c:v>
                </c:pt>
              </c:strCache>
            </c:strRef>
          </c:cat>
          <c:val>
            <c:numRef>
              <c:f>'IRONTOOL CST'!$E$6:$E$11</c:f>
              <c:numCache>
                <c:formatCode>"R"#,##0.00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9F0A-47A2-9513-4B7BA37694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40394447402578"/>
          <c:y val="0.129778461069675"/>
          <c:w val="9.0884884039409614E-2"/>
          <c:h val="0.229216822831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[Quality_data.xlsx]HANDLE CST!PivotTable3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baseline="0">
                <a:effectLst/>
              </a:rPr>
              <a:t>TOP 5 HANDLE SCRAP/VALUE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1259478991718831"/>
          <c:y val="3.1948578175138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781108162584648"/>
          <c:y val="0.2389707618425426"/>
          <c:w val="0.53261800147909677"/>
          <c:h val="0.655071347522607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'HANDLE CST'!$B$4:$B$5</c:f>
              <c:strCache>
                <c:ptCount val="1"/>
                <c:pt idx="0">
                  <c:v>MOULDING PROBLEM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'HANDLE CST'!$A$6:$A$11</c:f>
              <c:strCache>
                <c:ptCount val="5"/>
                <c:pt idx="0">
                  <c:v>Ham Sledge 6.3kg P/Handle Black CCL</c:v>
                </c:pt>
                <c:pt idx="1">
                  <c:v>HDL BP  700/1100g Poly  N/C  Soft Grip</c:v>
                </c:pt>
                <c:pt idx="2">
                  <c:v>HDL Axe 1.8kg Poly S/C Yellow</c:v>
                </c:pt>
                <c:pt idx="3">
                  <c:v>HDL Claw  Poly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'HANDLE CST'!$B$6:$B$11</c:f>
              <c:numCache>
                <c:formatCode>"R"#,##0.00</c:formatCode>
                <c:ptCount val="5"/>
                <c:pt idx="1">
                  <c:v>26</c:v>
                </c:pt>
                <c:pt idx="2">
                  <c:v>2562.6999999999998</c:v>
                </c:pt>
                <c:pt idx="3">
                  <c:v>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D-4FD2-AED6-A73B924962B9}"/>
            </c:ext>
          </c:extLst>
        </c:ser>
        <c:ser>
          <c:idx val="1"/>
          <c:order val="1"/>
          <c:tx>
            <c:strRef>
              <c:f>'HANDLE CST'!$C$4:$C$5</c:f>
              <c:strCache>
                <c:ptCount val="1"/>
                <c:pt idx="0">
                  <c:v>ECR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'HANDLE CST'!$A$6:$A$11</c:f>
              <c:strCache>
                <c:ptCount val="5"/>
                <c:pt idx="0">
                  <c:v>Ham Sledge 6.3kg P/Handle Black CCL</c:v>
                </c:pt>
                <c:pt idx="1">
                  <c:v>HDL BP  700/1100g Poly  N/C  Soft Grip</c:v>
                </c:pt>
                <c:pt idx="2">
                  <c:v>HDL Axe 1.8kg Poly S/C Yellow</c:v>
                </c:pt>
                <c:pt idx="3">
                  <c:v>HDL Claw  Poly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'HANDLE CST'!$C$6:$C$11</c:f>
              <c:numCache>
                <c:formatCode>"R"#,##0.00</c:formatCode>
                <c:ptCount val="5"/>
                <c:pt idx="1">
                  <c:v>2080</c:v>
                </c:pt>
                <c:pt idx="4">
                  <c:v>3968.04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6-4D7B-8C10-D369490B84C4}"/>
            </c:ext>
          </c:extLst>
        </c:ser>
        <c:ser>
          <c:idx val="2"/>
          <c:order val="2"/>
          <c:tx>
            <c:strRef>
              <c:f>'HANDLE CST'!$D$4:$D$5</c:f>
              <c:strCache>
                <c:ptCount val="1"/>
                <c:pt idx="0">
                  <c:v>POOR ASSMBLY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'HANDLE CST'!$A$6:$A$11</c:f>
              <c:strCache>
                <c:ptCount val="5"/>
                <c:pt idx="0">
                  <c:v>Ham Sledge 6.3kg P/Handle Black CCL</c:v>
                </c:pt>
                <c:pt idx="1">
                  <c:v>HDL BP  700/1100g Poly  N/C  Soft Grip</c:v>
                </c:pt>
                <c:pt idx="2">
                  <c:v>HDL Axe 1.8kg Poly S/C Yellow</c:v>
                </c:pt>
                <c:pt idx="3">
                  <c:v>HDL Claw  Poly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'HANDLE CST'!$D$6:$D$11</c:f>
              <c:numCache>
                <c:formatCode>"R"#,##0.00</c:formatCode>
                <c:ptCount val="5"/>
                <c:pt idx="0">
                  <c:v>1790</c:v>
                </c:pt>
                <c:pt idx="2">
                  <c:v>52.3</c:v>
                </c:pt>
                <c:pt idx="3">
                  <c:v>58.650000000000006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6-4D7B-8C10-D369490B84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927416348549"/>
          <c:y val="0.40894405666540595"/>
          <c:w val="0.18920410237737623"/>
          <c:h val="0.37935884651973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[Quality_data.xlsx]HAMMER CON!PivotTable3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100" b="1" baseline="0"/>
              <a:t>OVERALL HAMMER SCRAP TYPE CONTRIBUTION</a:t>
            </a:r>
            <a:endParaRPr lang="en-ZA" sz="1100" b="1"/>
          </a:p>
        </c:rich>
      </c:tx>
      <c:layout>
        <c:manualLayout>
          <c:xMode val="edge"/>
          <c:yMode val="edge"/>
          <c:x val="0.29901338419654067"/>
          <c:y val="3.6625069385909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C0A09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FDB5B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328901697745298"/>
          <c:y val="0.18570786720824162"/>
          <c:w val="0.5586625952538441"/>
          <c:h val="0.75822982746314338"/>
        </c:manualLayout>
      </c:layout>
      <c:doughnutChart>
        <c:varyColors val="1"/>
        <c:ser>
          <c:idx val="0"/>
          <c:order val="0"/>
          <c:tx>
            <c:strRef>
              <c:f>'HAMMER CON'!$B$4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EAA-4747-857A-873A0D6A065F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EAA-4747-857A-873A0D6A06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EAA-4747-857A-873A0D6A065F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EAA-4747-857A-873A0D6A06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EAA-4747-857A-873A0D6A06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EAA-4747-857A-873A0D6A065F}"/>
              </c:ext>
            </c:extLst>
          </c:dPt>
          <c:dPt>
            <c:idx val="6"/>
            <c:bubble3D val="0"/>
            <c:spPr>
              <a:solidFill>
                <a:srgbClr val="FDB5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5C-4AC5-B0AD-7A450C2994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5C-4AC5-B0AD-7A450C299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'HAMMER CON'!$A$5:$A$13</c:f>
              <c:strCache>
                <c:ptCount val="8"/>
                <c:pt idx="0">
                  <c:v>BAD.FRG</c:v>
                </c:pt>
                <c:pt idx="1">
                  <c:v>CLW END.SHRT</c:v>
                </c:pt>
                <c:pt idx="2">
                  <c:v>MOULDING PROBLEM</c:v>
                </c:pt>
                <c:pt idx="3">
                  <c:v>DAM.EYE</c:v>
                </c:pt>
                <c:pt idx="4">
                  <c:v>CRACK</c:v>
                </c:pt>
                <c:pt idx="5">
                  <c:v>TEST SAMPLES</c:v>
                </c:pt>
                <c:pt idx="6">
                  <c:v>WL.DAM</c:v>
                </c:pt>
                <c:pt idx="7">
                  <c:v>BENT/ OFFSET</c:v>
                </c:pt>
              </c:strCache>
            </c:strRef>
          </c:cat>
          <c:val>
            <c:numRef>
              <c:f>'HAMMER CON'!$B$5:$B$13</c:f>
              <c:numCache>
                <c:formatCode>0.00%</c:formatCode>
                <c:ptCount val="8"/>
                <c:pt idx="0">
                  <c:v>0.75593952483801297</c:v>
                </c:pt>
                <c:pt idx="1">
                  <c:v>0.11771058315334773</c:v>
                </c:pt>
                <c:pt idx="2">
                  <c:v>5.0755939524838013E-2</c:v>
                </c:pt>
                <c:pt idx="3">
                  <c:v>2.4838012958963283E-2</c:v>
                </c:pt>
                <c:pt idx="4">
                  <c:v>2.3758099352051837E-2</c:v>
                </c:pt>
                <c:pt idx="5">
                  <c:v>1.8358531317494601E-2</c:v>
                </c:pt>
                <c:pt idx="6">
                  <c:v>6.4794816414686825E-3</c:v>
                </c:pt>
                <c:pt idx="7">
                  <c:v>2.1598272138228943E-3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EAA-4747-857A-873A0D6A06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76942012683199"/>
          <c:y val="0.22374397724780085"/>
          <c:w val="0.20232356824962097"/>
          <c:h val="0.51788755512189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[Quality_data.xlsx]IRONTOOL CON!PivotTable3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100" b="1" i="0" baseline="0">
                <a:effectLst/>
              </a:rPr>
              <a:t>OVERALL IRON TOOL SCRAP TYPE CONTRIBUTION</a:t>
            </a:r>
            <a:endParaRPr lang="en-ZA" sz="1100">
              <a:effectLst/>
            </a:endParaRPr>
          </a:p>
        </c:rich>
      </c:tx>
      <c:layout>
        <c:manualLayout>
          <c:xMode val="edge"/>
          <c:yMode val="edge"/>
          <c:x val="0.16132468727573646"/>
          <c:y val="3.0111087465418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973621551815856E-2"/>
              <c:y val="0.101718608703323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753124370456231"/>
              <c:y val="-3.60360360360366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3203568978357929E-2"/>
              <c:y val="1.0750126822382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3002907063270691E-2"/>
              <c:y val="-0.118918918918918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4400440619141485E-2"/>
              <c:y val="-8.5305366240984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7362558746161018E-3"/>
              <c:y val="-9.52380952380952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76939460436298"/>
          <c:y val="0.16525076257359722"/>
          <c:w val="0.64294719550839485"/>
          <c:h val="0.74051953268374437"/>
        </c:manualLayout>
      </c:layout>
      <c:doughnutChart>
        <c:varyColors val="1"/>
        <c:ser>
          <c:idx val="0"/>
          <c:order val="0"/>
          <c:tx>
            <c:strRef>
              <c:f>'IRONTOOL CON'!$B$4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42-45B2-B241-19DF8D92FCF6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842-45B2-B241-19DF8D92FCF6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42-45B2-B241-19DF8D92FCF6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42-45B2-B241-19DF8D92FC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842-45B2-B241-19DF8D92FCF6}"/>
              </c:ext>
            </c:extLst>
          </c:dPt>
          <c:dLbls>
            <c:dLbl>
              <c:idx val="0"/>
              <c:layout>
                <c:manualLayout>
                  <c:x val="1.4973621551815856E-2"/>
                  <c:y val="0.101718608703323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42-45B2-B241-19DF8D92FCF6}"/>
                </c:ext>
              </c:extLst>
            </c:dLbl>
            <c:dLbl>
              <c:idx val="1"/>
              <c:layout>
                <c:manualLayout>
                  <c:x val="-5.3203568978357929E-2"/>
                  <c:y val="1.0750126822382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42-45B2-B241-19DF8D92FCF6}"/>
                </c:ext>
              </c:extLst>
            </c:dLbl>
            <c:dLbl>
              <c:idx val="2"/>
              <c:layout>
                <c:manualLayout>
                  <c:x val="-3.4400440619141485E-2"/>
                  <c:y val="-8.5305366240984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42-45B2-B241-19DF8D92FCF6}"/>
                </c:ext>
              </c:extLst>
            </c:dLbl>
            <c:dLbl>
              <c:idx val="3"/>
              <c:layout>
                <c:manualLayout>
                  <c:x val="8.7362558746161018E-3"/>
                  <c:y val="-9.5238095238095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42-45B2-B241-19DF8D92F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'IRONTOOL CON'!$A$5:$A$9</c:f>
              <c:strCache>
                <c:ptCount val="4"/>
                <c:pt idx="0">
                  <c:v>WL.DAM</c:v>
                </c:pt>
                <c:pt idx="1">
                  <c:v>BAD.FRG</c:v>
                </c:pt>
                <c:pt idx="2">
                  <c:v>BRKN.TIP</c:v>
                </c:pt>
                <c:pt idx="3">
                  <c:v>BENT/ OFFSET</c:v>
                </c:pt>
              </c:strCache>
            </c:strRef>
          </c:cat>
          <c:val>
            <c:numRef>
              <c:f>'IRONTOOL CON'!$B$5:$B$9</c:f>
              <c:numCache>
                <c:formatCode>0.00%</c:formatCode>
                <c:ptCount val="4"/>
                <c:pt idx="0">
                  <c:v>0.77892561983471076</c:v>
                </c:pt>
                <c:pt idx="1">
                  <c:v>0.13429752066115702</c:v>
                </c:pt>
                <c:pt idx="2">
                  <c:v>7.2314049586776855E-2</c:v>
                </c:pt>
                <c:pt idx="3">
                  <c:v>1.4462809917355372E-2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42-45B2-B241-19DF8D92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2773570922805"/>
          <c:y val="0.2166929133858268"/>
          <c:w val="0.22144684975157181"/>
          <c:h val="0.31677520039724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[Quality_data.xlsx]HANDLE CON!PivotTable3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100" b="1" i="0" baseline="0">
                <a:effectLst/>
              </a:rPr>
              <a:t>HANDLE SCRAP TYPE CONTRIBUTION</a:t>
            </a:r>
            <a:endParaRPr lang="en-ZA" sz="1100">
              <a:effectLst/>
            </a:endParaRPr>
          </a:p>
        </c:rich>
      </c:tx>
      <c:layout>
        <c:manualLayout>
          <c:xMode val="edge"/>
          <c:yMode val="edge"/>
          <c:x val="0.21782358087591991"/>
          <c:y val="8.096797825538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45098039215688"/>
              <c:y val="-8.333326900318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071895424836602"/>
              <c:y val="0.166666538006377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798929545571509"/>
          <c:y val="0.23919311471891716"/>
          <c:w val="0.4589531754075295"/>
          <c:h val="0.6617971482500008"/>
        </c:manualLayout>
      </c:layout>
      <c:doughnutChart>
        <c:varyColors val="1"/>
        <c:ser>
          <c:idx val="0"/>
          <c:order val="0"/>
          <c:tx>
            <c:strRef>
              <c:f>'HANDLE CON'!$B$4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A7-48D6-8BE5-1A92C9C054C0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A7-48D6-8BE5-1A92C9C054C0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23-477E-8B81-1170F608D7B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09-41CE-A1A4-53623FC54939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109-41CE-A1A4-53623FC54939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109-41CE-A1A4-53623FC549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'HANDLE CON'!$A$5:$A$11</c:f>
              <c:strCache>
                <c:ptCount val="6"/>
                <c:pt idx="0">
                  <c:v>MOULDING PROBLEM</c:v>
                </c:pt>
                <c:pt idx="1">
                  <c:v>ECR</c:v>
                </c:pt>
                <c:pt idx="2">
                  <c:v>BRKN</c:v>
                </c:pt>
                <c:pt idx="3">
                  <c:v>POOR ASSMBLY</c:v>
                </c:pt>
                <c:pt idx="4">
                  <c:v>CRACK</c:v>
                </c:pt>
                <c:pt idx="5">
                  <c:v>BAD.FRG</c:v>
                </c:pt>
              </c:strCache>
            </c:strRef>
          </c:cat>
          <c:val>
            <c:numRef>
              <c:f>'HANDLE CON'!$B$5:$B$11</c:f>
              <c:numCache>
                <c:formatCode>0.00%</c:formatCode>
                <c:ptCount val="6"/>
                <c:pt idx="0">
                  <c:v>0.35645472061657035</c:v>
                </c:pt>
                <c:pt idx="1">
                  <c:v>0.24277456647398843</c:v>
                </c:pt>
                <c:pt idx="2">
                  <c:v>0.22832369942196531</c:v>
                </c:pt>
                <c:pt idx="3">
                  <c:v>0.1464354527938343</c:v>
                </c:pt>
                <c:pt idx="4">
                  <c:v>2.5048169556840076E-2</c:v>
                </c:pt>
                <c:pt idx="5">
                  <c:v>9.6339113680154141E-4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A7-48D6-8BE5-1A92C9C054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091503267973858"/>
          <c:y val="0.18199615408664963"/>
          <c:w val="0.36928104575163401"/>
          <c:h val="0.496469047036400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[Quality_data.xlsx]top5!PivotTable3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'top5'!$B$3:$B$4</c:f>
              <c:strCache>
                <c:ptCount val="1"/>
                <c:pt idx="0">
                  <c:v>BAD.FRG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'top5'!$B$5:$B$10</c:f>
              <c:numCache>
                <c:formatCode>General</c:formatCode>
                <c:ptCount val="5"/>
                <c:pt idx="0">
                  <c:v>29295.09</c:v>
                </c:pt>
                <c:pt idx="1">
                  <c:v>8950</c:v>
                </c:pt>
                <c:pt idx="2">
                  <c:v>2313.92</c:v>
                </c:pt>
                <c:pt idx="3">
                  <c:v>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E-467D-ACDB-D29CA3EC36AD}"/>
            </c:ext>
          </c:extLst>
        </c:ser>
        <c:ser>
          <c:idx val="1"/>
          <c:order val="1"/>
          <c:tx>
            <c:strRef>
              <c:f>'top5'!$C$3:$C$4</c:f>
              <c:strCache>
                <c:ptCount val="1"/>
                <c:pt idx="0">
                  <c:v>BENT/ OFFSET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'top5'!$C$5:$C$10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9D7E-467D-ACDB-D29CA3EC36AD}"/>
            </c:ext>
          </c:extLst>
        </c:ser>
        <c:ser>
          <c:idx val="2"/>
          <c:order val="2"/>
          <c:tx>
            <c:strRef>
              <c:f>'top5'!$D$3:$D$4</c:f>
              <c:strCache>
                <c:ptCount val="1"/>
                <c:pt idx="0">
                  <c:v>BRKN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'top5'!$D$5:$D$10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9D7E-467D-ACDB-D29CA3EC36AD}"/>
            </c:ext>
          </c:extLst>
        </c:ser>
        <c:ser>
          <c:idx val="3"/>
          <c:order val="3"/>
          <c:tx>
            <c:strRef>
              <c:f>'top5'!$E$3:$E$4</c:f>
              <c:strCache>
                <c:ptCount val="1"/>
                <c:pt idx="0">
                  <c:v>BRKN.TIP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'top5'!$E$5:$E$10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9D7E-467D-ACDB-D29CA3EC36AD}"/>
            </c:ext>
          </c:extLst>
        </c:ser>
        <c:ser>
          <c:idx val="4"/>
          <c:order val="4"/>
          <c:tx>
            <c:strRef>
              <c:f>'top5'!$F$3:$F$4</c:f>
              <c:strCache>
                <c:ptCount val="1"/>
                <c:pt idx="0">
                  <c:v>CLW END.SHRT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'top5'!$F$5:$F$10</c:f>
              <c:numCache>
                <c:formatCode>General</c:formatCode>
                <c:ptCount val="5"/>
                <c:pt idx="2">
                  <c:v>1807.75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D-4937-92C2-7DA28A217033}"/>
            </c:ext>
          </c:extLst>
        </c:ser>
        <c:ser>
          <c:idx val="5"/>
          <c:order val="5"/>
          <c:tx>
            <c:strRef>
              <c:f>'top5'!$G$3:$G$4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'top5'!$G$5:$G$10</c:f>
              <c:numCache>
                <c:formatCode>General</c:formatCode>
                <c:ptCount val="5"/>
                <c:pt idx="0">
                  <c:v>307.56</c:v>
                </c:pt>
                <c:pt idx="1">
                  <c:v>358</c:v>
                </c:pt>
                <c:pt idx="2">
                  <c:v>216.93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D-4937-92C2-7DA28A217033}"/>
            </c:ext>
          </c:extLst>
        </c:ser>
        <c:ser>
          <c:idx val="6"/>
          <c:order val="6"/>
          <c:tx>
            <c:strRef>
              <c:f>'top5'!$H$3:$H$4</c:f>
              <c:strCache>
                <c:ptCount val="1"/>
                <c:pt idx="0">
                  <c:v>MOULDING PROBLEM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'top5'!$H$5:$H$10</c:f>
              <c:numCache>
                <c:formatCode>General</c:formatCode>
                <c:ptCount val="5"/>
                <c:pt idx="2">
                  <c:v>72.31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D-4937-92C2-7DA28A217033}"/>
            </c:ext>
          </c:extLst>
        </c:ser>
        <c:ser>
          <c:idx val="7"/>
          <c:order val="7"/>
          <c:tx>
            <c:strRef>
              <c:f>'top5'!$I$3:$I$4</c:f>
              <c:strCache>
                <c:ptCount val="1"/>
                <c:pt idx="0">
                  <c:v>POOR ASSMBLY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'top5'!$I$5:$I$10</c:f>
              <c:numCache>
                <c:formatCode>General</c:formatCode>
                <c:ptCount val="5"/>
                <c:pt idx="1">
                  <c:v>1790</c:v>
                </c:pt>
                <c:pt idx="2">
                  <c:v>72.31</c:v>
                </c:pt>
                <c:pt idx="3">
                  <c:v>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5D-4937-92C2-7DA28A217033}"/>
            </c:ext>
          </c:extLst>
        </c:ser>
        <c:ser>
          <c:idx val="8"/>
          <c:order val="8"/>
          <c:tx>
            <c:strRef>
              <c:f>'top5'!$J$3:$J$4</c:f>
              <c:strCache>
                <c:ptCount val="1"/>
                <c:pt idx="0">
                  <c:v>TEST SAMPLES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'top5'!$J$5:$J$10</c:f>
              <c:numCache>
                <c:formatCode>General</c:formatCode>
                <c:ptCount val="5"/>
                <c:pt idx="2">
                  <c:v>216.93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5D-4937-92C2-7DA28A217033}"/>
            </c:ext>
          </c:extLst>
        </c:ser>
        <c:ser>
          <c:idx val="9"/>
          <c:order val="9"/>
          <c:tx>
            <c:strRef>
              <c:f>'top5'!$K$3:$K$4</c:f>
              <c:strCache>
                <c:ptCount val="1"/>
                <c:pt idx="0">
                  <c:v>WL.DAM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'top5'!$K$5:$K$10</c:f>
              <c:numCache>
                <c:formatCode>General</c:formatCode>
                <c:ptCount val="5"/>
                <c:pt idx="0">
                  <c:v>76.89</c:v>
                </c:pt>
                <c:pt idx="2">
                  <c:v>144.62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5D-4937-92C2-7DA28A217033}"/>
            </c:ext>
          </c:extLst>
        </c:ser>
        <c:ser>
          <c:idx val="10"/>
          <c:order val="10"/>
          <c:tx>
            <c:strRef>
              <c:f>'top5'!$L$3:$L$4</c:f>
              <c:strCache>
                <c:ptCount val="1"/>
                <c:pt idx="0">
                  <c:v>ECR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'top5'!$A$5:$A$10</c:f>
              <c:strCache>
                <c:ptCount val="5"/>
                <c:pt idx="0">
                  <c:v>Axe 0.9kg Composite</c:v>
                </c:pt>
                <c:pt idx="1">
                  <c:v>Ham Sledge 6.3kg P/Handle Black CCL</c:v>
                </c:pt>
                <c:pt idx="2">
                  <c:v>Ham Claw 500g Poly</c:v>
                </c:pt>
                <c:pt idx="3">
                  <c:v>Ham Club 1.8kg S/C Soft Grip</c:v>
                </c:pt>
                <c:pt idx="4">
                  <c:v>HDL BP 500g Poly N/C Soft Grip</c:v>
                </c:pt>
              </c:strCache>
            </c:strRef>
          </c:cat>
          <c:val>
            <c:numRef>
              <c:f>'top5'!$L$5:$L$10</c:f>
              <c:numCache>
                <c:formatCode>General</c:formatCode>
                <c:ptCount val="5"/>
                <c:pt idx="4">
                  <c:v>3968.04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5D-4937-92C2-7DA28A2170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52788064"/>
        <c:axId val="514516016"/>
      </c:barChart>
      <c:catAx>
        <c:axId val="6527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16016"/>
        <c:crosses val="autoZero"/>
        <c:auto val="1"/>
        <c:lblAlgn val="ctr"/>
        <c:lblOffset val="100"/>
        <c:noMultiLvlLbl val="0"/>
      </c:catAx>
      <c:valAx>
        <c:axId val="5145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41884880668983"/>
          <c:y val="1.3969916674378278E-2"/>
          <c:w val="0.13319352883534522"/>
          <c:h val="0.61440348536962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[Quality_data.xlsx]top5 (2)!PivotTable3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'top5 (2)'!$B$3:$B$4</c:f>
              <c:strCache>
                <c:ptCount val="1"/>
                <c:pt idx="0">
                  <c:v>BAD.FRG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(2)'!$B$5:$B$10</c:f>
              <c:numCache>
                <c:formatCode>General</c:formatCode>
                <c:ptCount val="5"/>
                <c:pt idx="0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F-49F3-9AFD-F1FC3C02A8F3}"/>
            </c:ext>
          </c:extLst>
        </c:ser>
        <c:ser>
          <c:idx val="1"/>
          <c:order val="1"/>
          <c:tx>
            <c:strRef>
              <c:f>'top5 (2)'!$C$3:$C$4</c:f>
              <c:strCache>
                <c:ptCount val="1"/>
                <c:pt idx="0">
                  <c:v>BENT/ OFFSET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(2)'!$C$5:$C$10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E7F-49F3-9AFD-F1FC3C02A8F3}"/>
            </c:ext>
          </c:extLst>
        </c:ser>
        <c:ser>
          <c:idx val="2"/>
          <c:order val="2"/>
          <c:tx>
            <c:strRef>
              <c:f>'top5 (2)'!$D$3:$D$4</c:f>
              <c:strCache>
                <c:ptCount val="1"/>
                <c:pt idx="0">
                  <c:v>BRKN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(2)'!$D$5:$D$10</c:f>
              <c:numCache>
                <c:formatCode>General</c:formatCode>
                <c:ptCount val="5"/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F-49F3-9AFD-F1FC3C02A8F3}"/>
            </c:ext>
          </c:extLst>
        </c:ser>
        <c:ser>
          <c:idx val="3"/>
          <c:order val="3"/>
          <c:tx>
            <c:strRef>
              <c:f>'top5 (2)'!$E$3:$E$4</c:f>
              <c:strCache>
                <c:ptCount val="1"/>
                <c:pt idx="0">
                  <c:v>BRKN.TIP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(2)'!$E$5:$E$10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DE7F-49F3-9AFD-F1FC3C02A8F3}"/>
            </c:ext>
          </c:extLst>
        </c:ser>
        <c:ser>
          <c:idx val="4"/>
          <c:order val="4"/>
          <c:tx>
            <c:strRef>
              <c:f>'top5 (2)'!$F$3:$F$4</c:f>
              <c:strCache>
                <c:ptCount val="1"/>
                <c:pt idx="0">
                  <c:v>CLW END.SHRT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(2)'!$F$5:$F$10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953-49C2-A020-AEC4FB7D8EB5}"/>
            </c:ext>
          </c:extLst>
        </c:ser>
        <c:ser>
          <c:idx val="5"/>
          <c:order val="5"/>
          <c:tx>
            <c:strRef>
              <c:f>'top5 (2)'!$G$3:$G$4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(2)'!$G$5:$G$10</c:f>
              <c:numCache>
                <c:formatCode>General</c:formatCode>
                <c:ptCount val="5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3-49C2-A020-AEC4FB7D8EB5}"/>
            </c:ext>
          </c:extLst>
        </c:ser>
        <c:ser>
          <c:idx val="6"/>
          <c:order val="6"/>
          <c:tx>
            <c:strRef>
              <c:f>'top5 (2)'!$H$3:$H$4</c:f>
              <c:strCache>
                <c:ptCount val="1"/>
                <c:pt idx="0">
                  <c:v>MOULDING PROBLEM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(2)'!$H$5:$H$10</c:f>
              <c:numCache>
                <c:formatCode>General</c:formatCode>
                <c:ptCount val="5"/>
                <c:pt idx="1">
                  <c:v>180</c:v>
                </c:pt>
                <c:pt idx="3">
                  <c:v>67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53-49C2-A020-AEC4FB7D8EB5}"/>
            </c:ext>
          </c:extLst>
        </c:ser>
        <c:ser>
          <c:idx val="7"/>
          <c:order val="7"/>
          <c:tx>
            <c:strRef>
              <c:f>'top5 (2)'!$I$3:$I$4</c:f>
              <c:strCache>
                <c:ptCount val="1"/>
                <c:pt idx="0">
                  <c:v>POOR ASSMBLY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(2)'!$I$5:$I$10</c:f>
              <c:numCache>
                <c:formatCode>General</c:formatCode>
                <c:ptCount val="5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53-49C2-A020-AEC4FB7D8EB5}"/>
            </c:ext>
          </c:extLst>
        </c:ser>
        <c:ser>
          <c:idx val="8"/>
          <c:order val="8"/>
          <c:tx>
            <c:strRef>
              <c:f>'top5 (2)'!$J$3:$J$4</c:f>
              <c:strCache>
                <c:ptCount val="1"/>
                <c:pt idx="0">
                  <c:v>TEST SAMPLES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(2)'!$J$5:$J$10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3953-49C2-A020-AEC4FB7D8EB5}"/>
            </c:ext>
          </c:extLst>
        </c:ser>
        <c:ser>
          <c:idx val="9"/>
          <c:order val="9"/>
          <c:tx>
            <c:strRef>
              <c:f>'top5 (2)'!$K$3:$K$4</c:f>
              <c:strCache>
                <c:ptCount val="1"/>
                <c:pt idx="0">
                  <c:v>WL.DAM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(2)'!$K$5:$K$10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53-49C2-A020-AEC4FB7D8EB5}"/>
            </c:ext>
          </c:extLst>
        </c:ser>
        <c:ser>
          <c:idx val="10"/>
          <c:order val="10"/>
          <c:tx>
            <c:strRef>
              <c:f>'top5 (2)'!$L$3:$L$4</c:f>
              <c:strCache>
                <c:ptCount val="1"/>
                <c:pt idx="0">
                  <c:v>ECR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(2)'!$A$5:$A$10</c:f>
              <c:strCache>
                <c:ptCount val="5"/>
                <c:pt idx="0">
                  <c:v>Axe 0.9kg Composite</c:v>
                </c:pt>
                <c:pt idx="1">
                  <c:v>HDL Claw  Poly S/C Soft Grip</c:v>
                </c:pt>
                <c:pt idx="2">
                  <c:v>HDL BP 500g Poly N/C Soft Grip</c:v>
                </c:pt>
                <c:pt idx="3">
                  <c:v>Hdl Rake Steel Plastic</c:v>
                </c:pt>
                <c:pt idx="4">
                  <c:v>HDL BP  700/1100g Poly  N/C  Soft Grip</c:v>
                </c:pt>
              </c:strCache>
            </c:strRef>
          </c:cat>
          <c:val>
            <c:numRef>
              <c:f>'top5 (2)'!$L$5:$L$10</c:f>
              <c:numCache>
                <c:formatCode>General</c:formatCode>
                <c:ptCount val="5"/>
                <c:pt idx="2">
                  <c:v>172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53-49C2-A020-AEC4FB7D8E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52788064"/>
        <c:axId val="514516016"/>
      </c:barChart>
      <c:catAx>
        <c:axId val="6527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16016"/>
        <c:crosses val="autoZero"/>
        <c:auto val="1"/>
        <c:lblAlgn val="ctr"/>
        <c:lblOffset val="100"/>
        <c:noMultiLvlLbl val="0"/>
      </c:catAx>
      <c:valAx>
        <c:axId val="5145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41884880668983"/>
          <c:y val="1.3969916674378278E-2"/>
          <c:w val="0.12100669024505024"/>
          <c:h val="0.56184091725376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[Quality_data.xlsx]HAMMER (2)!PivotTable3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YTD TOP 5 HAMMER SCRAP/QTY</a:t>
            </a:r>
          </a:p>
        </c:rich>
      </c:tx>
      <c:layout>
        <c:manualLayout>
          <c:xMode val="edge"/>
          <c:yMode val="edge"/>
          <c:x val="0.36632131509877053"/>
          <c:y val="5.7151579605163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DB5B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250864E2-C9C4-47B2-8F9E-A775BEEE0C42}" type="VALUE">
                  <a:rPr lang="en-US" baseline="0"/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589885447992462E-2"/>
          <c:y val="0.14146323809742209"/>
          <c:w val="0.9056360812041353"/>
          <c:h val="0.58307764161058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'HAMMER (2)'!$B$5:$B$6</c:f>
              <c:strCache>
                <c:ptCount val="1"/>
                <c:pt idx="0">
                  <c:v>Hammer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'HAMMER (2)'!$A$7:$A$21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'HAMMER (2)'!$B$7:$B$21</c:f>
              <c:numCache>
                <c:formatCode>General</c:formatCode>
                <c:ptCount val="12"/>
                <c:pt idx="0">
                  <c:v>48</c:v>
                </c:pt>
                <c:pt idx="1">
                  <c:v>48</c:v>
                </c:pt>
                <c:pt idx="2">
                  <c:v>37</c:v>
                </c:pt>
                <c:pt idx="3">
                  <c:v>90</c:v>
                </c:pt>
                <c:pt idx="4">
                  <c:v>53</c:v>
                </c:pt>
                <c:pt idx="5">
                  <c:v>33</c:v>
                </c:pt>
                <c:pt idx="6">
                  <c:v>36</c:v>
                </c:pt>
                <c:pt idx="7">
                  <c:v>329</c:v>
                </c:pt>
                <c:pt idx="8">
                  <c:v>53</c:v>
                </c:pt>
                <c:pt idx="9">
                  <c:v>50</c:v>
                </c:pt>
                <c:pt idx="10">
                  <c:v>45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6-48CF-8995-70637122318B}"/>
            </c:ext>
          </c:extLst>
        </c:ser>
        <c:ser>
          <c:idx val="1"/>
          <c:order val="1"/>
          <c:tx>
            <c:strRef>
              <c:f>'HAMMER (2)'!$C$5:$C$6</c:f>
              <c:strCache>
                <c:ptCount val="1"/>
                <c:pt idx="0">
                  <c:v>Handles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'HAMMER (2)'!$A$7:$A$21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'HAMMER (2)'!$C$7:$C$21</c:f>
              <c:numCache>
                <c:formatCode>General</c:formatCode>
                <c:ptCount val="12"/>
                <c:pt idx="0">
                  <c:v>59</c:v>
                </c:pt>
                <c:pt idx="1">
                  <c:v>64</c:v>
                </c:pt>
                <c:pt idx="2">
                  <c:v>13</c:v>
                </c:pt>
                <c:pt idx="3">
                  <c:v>47</c:v>
                </c:pt>
                <c:pt idx="4">
                  <c:v>30</c:v>
                </c:pt>
                <c:pt idx="5">
                  <c:v>66</c:v>
                </c:pt>
                <c:pt idx="6">
                  <c:v>57</c:v>
                </c:pt>
                <c:pt idx="7">
                  <c:v>45</c:v>
                </c:pt>
                <c:pt idx="8">
                  <c:v>51</c:v>
                </c:pt>
                <c:pt idx="9">
                  <c:v>177</c:v>
                </c:pt>
                <c:pt idx="10">
                  <c:v>263</c:v>
                </c:pt>
                <c:pt idx="11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96-48CF-8995-70637122318B}"/>
            </c:ext>
          </c:extLst>
        </c:ser>
        <c:ser>
          <c:idx val="2"/>
          <c:order val="2"/>
          <c:tx>
            <c:strRef>
              <c:f>'HAMMER (2)'!$D$5:$D$6</c:f>
              <c:strCache>
                <c:ptCount val="1"/>
                <c:pt idx="0">
                  <c:v>Iron Tools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'HAMMER (2)'!$A$7:$A$21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'HAMMER (2)'!$D$7:$D$21</c:f>
              <c:numCache>
                <c:formatCode>General</c:formatCode>
                <c:ptCount val="12"/>
                <c:pt idx="0">
                  <c:v>43</c:v>
                </c:pt>
                <c:pt idx="1">
                  <c:v>53</c:v>
                </c:pt>
                <c:pt idx="2">
                  <c:v>26</c:v>
                </c:pt>
                <c:pt idx="3">
                  <c:v>70</c:v>
                </c:pt>
                <c:pt idx="4">
                  <c:v>48</c:v>
                </c:pt>
                <c:pt idx="5">
                  <c:v>20</c:v>
                </c:pt>
                <c:pt idx="6">
                  <c:v>33</c:v>
                </c:pt>
                <c:pt idx="7">
                  <c:v>28</c:v>
                </c:pt>
                <c:pt idx="8">
                  <c:v>37</c:v>
                </c:pt>
                <c:pt idx="9">
                  <c:v>31</c:v>
                </c:pt>
                <c:pt idx="10">
                  <c:v>52</c:v>
                </c:pt>
                <c:pt idx="1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96-48CF-8995-7063712231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86469216"/>
        <c:axId val="386471296"/>
      </c:barChart>
      <c:catAx>
        <c:axId val="38646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388474913065072"/>
          <c:y val="3.3308731145448883E-2"/>
          <c:w val="9.6698113207547176E-2"/>
          <c:h val="0.17657149563621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13</xdr:row>
      <xdr:rowOff>9525</xdr:rowOff>
    </xdr:from>
    <xdr:to>
      <xdr:col>6</xdr:col>
      <xdr:colOff>733425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C562E-F20E-4F01-BA80-E54D9A6F8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85725</xdr:rowOff>
    </xdr:from>
    <xdr:to>
      <xdr:col>10</xdr:col>
      <xdr:colOff>333375</xdr:colOff>
      <xdr:row>45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6B500-B2A5-4342-9607-17DDE2C7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19049</xdr:rowOff>
    </xdr:from>
    <xdr:to>
      <xdr:col>5</xdr:col>
      <xdr:colOff>285750</xdr:colOff>
      <xdr:row>29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2B969-9D73-40D2-8155-12D0BACC7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142875</xdr:rowOff>
    </xdr:from>
    <xdr:to>
      <xdr:col>10</xdr:col>
      <xdr:colOff>142875</xdr:colOff>
      <xdr:row>28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9FD7B-42A8-4E64-8893-45279E6B4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11</xdr:row>
      <xdr:rowOff>180974</xdr:rowOff>
    </xdr:from>
    <xdr:to>
      <xdr:col>14</xdr:col>
      <xdr:colOff>257174</xdr:colOff>
      <xdr:row>30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084CF-56BE-41A1-A700-B2B3FEB35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</xdr:rowOff>
    </xdr:from>
    <xdr:to>
      <xdr:col>7</xdr:col>
      <xdr:colOff>28575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E16D1-AE75-4E76-BD89-19B897D9F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38100</xdr:rowOff>
    </xdr:from>
    <xdr:to>
      <xdr:col>12</xdr:col>
      <xdr:colOff>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75849-D7DB-41CF-9281-886D6FB82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289692</xdr:colOff>
      <xdr:row>1</xdr:row>
      <xdr:rowOff>143861</xdr:rowOff>
    </xdr:from>
    <xdr:to>
      <xdr:col>9</xdr:col>
      <xdr:colOff>440121</xdr:colOff>
      <xdr:row>13</xdr:row>
      <xdr:rowOff>124811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BF871-E37F-45E5-9B3F-3CD9DE382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5</xdr:row>
      <xdr:rowOff>142873</xdr:rowOff>
    </xdr:from>
    <xdr:to>
      <xdr:col>10</xdr:col>
      <xdr:colOff>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39D36-9082-4D4B-A6A5-4EEFF4BA6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962025</xdr:colOff>
      <xdr:row>10</xdr:row>
      <xdr:rowOff>176212</xdr:rowOff>
    </xdr:from>
    <xdr:to>
      <xdr:col>10</xdr:col>
      <xdr:colOff>209550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CF504-FB68-4AB5-8E8C-CFE81296B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11</xdr:row>
      <xdr:rowOff>28575</xdr:rowOff>
    </xdr:from>
    <xdr:to>
      <xdr:col>10</xdr:col>
      <xdr:colOff>381001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4AFDE-3728-4115-941A-87CD83146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23</xdr:row>
      <xdr:rowOff>152400</xdr:rowOff>
    </xdr:from>
    <xdr:to>
      <xdr:col>10</xdr:col>
      <xdr:colOff>561975</xdr:colOff>
      <xdr:row>48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2E175-2BC4-402D-8285-F47C428FC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5847.470819907408" createdVersion="7" refreshedVersion="7" minRefreshableVersion="3" recordCount="308" xr:uid="{1B484F37-EAFF-4BE4-8539-4BBD4148716A}">
  <cacheSource type="worksheet">
    <worksheetSource ref="A1:J1048576" sheet="SCRAP DATA"/>
  </cacheSource>
  <cacheFields count="11">
    <cacheField name="Month" numFmtId="0">
      <sharedItems containsBlank="1"/>
    </cacheField>
    <cacheField name="Date" numFmtId="0">
      <sharedItems containsNonDate="0" containsDate="1" containsString="0" containsBlank="1" minDate="2024-07-01T00:00:00" maxDate="2025-06-02T00:00:00" count="13"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m/>
      </sharedItems>
      <fieldGroup par="10" base="1">
        <rangePr groupBy="months" startDate="2024-07-01T00:00:00" endDate="2025-06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6/2025"/>
        </groupItems>
      </fieldGroup>
    </cacheField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Prod Type" numFmtId="0">
      <sharedItems containsBlank="1" count="5">
        <s v="Hammer"/>
        <s v="Iron Tools"/>
        <s v="Handles"/>
        <m/>
        <s v="hammers" u="1"/>
      </sharedItems>
    </cacheField>
    <cacheField name="PRODUCT" numFmtId="0">
      <sharedItems containsBlank="1" count="84">
        <s v="Ham Claw 500g Poly"/>
        <s v="Ham Drill 1.8kg P/Handle Black"/>
        <s v="Ham Spalling 6.3kg P/Handle Black CCL"/>
        <s v="Ham Claw 700g S/C Poly Handle"/>
        <s v="Ham BP 500g N/C Soft Grip"/>
        <s v="Ham Club 1.1kg S/C Soft Grip"/>
        <s v="Ham Club 1.8kg S/C Soft Grip"/>
        <s v="Bolst  Electrician 55mm "/>
        <s v="Chisel Flat Cold 12x150"/>
        <s v="Chisel Flat Cold 20x200"/>
        <s v="Chisel Flat Cold 20x250"/>
        <s v="Chisel Flat Cold 25x250"/>
        <s v="Chisel Flat Cold 25x300"/>
        <s v="Bar Wrecking 20x600mm"/>
        <s v="Bolster 100mm"/>
        <s v="Bar Crow 25x1800"/>
        <s v="Chisel Flat Cold 25x350"/>
        <s v="Hdl 1.1 Club Wood 250mm"/>
        <s v="Hdl Rake Steel Plastic"/>
        <s v="HDL Axe 900g Poly N/C Yellow "/>
        <s v="HDL BP 500g Poly N/C Soft Grip"/>
        <s v="Hdl BP Wood 350mm"/>
        <s v="Hdl BP Wood 380mm"/>
        <s v="Hdl BP Wood 425mm"/>
        <s v="Axe 0.9kg Composite"/>
        <s v="Ham BP 700g SC Poly Handle"/>
        <s v="Ham Claw 600g S/C Poly Handle"/>
        <s v="Axe 0.9kg P/Handle yellow"/>
        <s v="Bar Tommy 20x600mm"/>
        <s v="HDL  Drill 1.8 kg CB Poly Black"/>
        <s v="HDL Axe 1.8kg Poly S/C Yellow"/>
        <s v="HDL  Club 1.8kg Poly S/C Soft Grip  "/>
        <s v="Hd Slasher "/>
        <s v="Bar Wrecking 20x300mm"/>
        <s v="Ham log Splitter 2.5kg S/C 800"/>
        <s v="Rake Head"/>
        <s v="Chisel Flat Cold 22x225"/>
        <s v="Hdl Boiler Scaling Wood "/>
        <s v="Ham Sledge 6.3kg P/Handle Black CCL"/>
        <s v="Ham BP 1100 N/C Soft Grip"/>
        <s v="Ham Sledge 1.8kg .S/C Soft Grip"/>
        <s v="Bar Wrecking 20x750mm"/>
        <s v="Hdl Broom Steel Plastic"/>
        <s v="Ham Scutch S/C Soft Grip"/>
        <s v="Axe 1.8kg P/Handle yellow"/>
        <s v="Ham Sledge 3.6kg P/Handle Black CCL"/>
        <s v="Ham BP 200g Nylon Black"/>
        <s v="Chisel Concrete 25x300"/>
        <s v="Bar Tommy 20x450mm"/>
        <s v="Ham Sledge 6.3kg S/C Soft Grip"/>
        <s v="Chisel Flat Cold 16x175"/>
        <s v="Hd Broom 300mm Brite / Fitting"/>
        <s v="Knife Double Edge Slasher"/>
        <s v="Ham Sledge 4.5kg  S/C Soft Grip"/>
        <s v="Bar Wrecking 20x450mm"/>
        <s v="Bar Wrecking 20x900mm"/>
        <s v="HDL Claw  Poly S/C Soft Grip"/>
        <s v="HDL BP  700/1100g Poly  N/C  Soft Grip"/>
        <s v="HDL  Club 1.1kg Poly S/C Soft Grip  "/>
        <s v="HDL Scutch  Poly S/C Soft Grip "/>
        <s v="Hdl Joiner 200g Nylon Poly"/>
        <s v="Hdl Sledge 3.6kg 600 Poly Soft Grip"/>
        <s v="Hammer Chipping"/>
        <s v="Hdl Sledge 6.3kg 800 Poly Soft Grip"/>
        <s v="Ham BP 900g N/C Soft Grip"/>
        <s v="HDL BP 100g Poly N/C Soft Grip"/>
        <m/>
        <s v="Ham Sledge 1.8kg RW Wood" u="1"/>
        <s v="Ham Sledge 3.6kg RW Wood" u="1"/>
        <s v="Ham BP 100g RW Wood" u="1"/>
        <s v="Ham BP 200g RW Wood" u="1"/>
        <s v="Ham BP 700g RW Wood" u="1"/>
        <s v="Bolster 100mm PVC Grip" u="1"/>
        <s v="Rake Combination" u="1"/>
        <s v="Digging Bars " u="1"/>
        <s v="Hdl BP Wood 280mm" u="1"/>
        <s v="Combo Rake &amp; Broom" u="1"/>
        <s v="Hdl Claw Wood 345mm" u="1"/>
        <s v="Hdl Joiner Wood 280mm" u="1"/>
        <s v="Knife Hacking PVC Grip" u="1"/>
        <s v="Hdl BP Wood 400mm" u="1"/>
        <s v="Ham Claw 600g RW Wood" u="1"/>
        <s v="Chisel Flat Cold 12x200" u="1"/>
        <s v="Hdl BP Wood 330mm" u="1"/>
      </sharedItems>
    </cacheField>
    <cacheField name="Qty" numFmtId="0">
      <sharedItems containsString="0" containsBlank="1" containsNumber="1" containsInteger="1" minValue="1" maxValue="292"/>
    </cacheField>
    <cacheField name="Unit Cost" numFmtId="0">
      <sharedItems containsString="0" containsBlank="1" containsNumber="1" minValue="5.99" maxValue="386.36"/>
    </cacheField>
    <cacheField name="Total Cost" numFmtId="0">
      <sharedItems containsString="0" containsBlank="1" containsNumber="1" minValue="6.26" maxValue="22451.88"/>
    </cacheField>
    <cacheField name="Scrap Type " numFmtId="0">
      <sharedItems containsBlank="1" count="26">
        <s v="CLW END.SHRT"/>
        <s v="BAD.FRG"/>
        <s v="CRACK"/>
        <s v="DAM.EYE"/>
        <s v="WL.DAM"/>
        <s v="BRKN.TIP"/>
        <s v="BRKN"/>
        <s v="MOULDING PROBLEM"/>
        <s v="TEST SAMPLES"/>
        <s v="BENT/ OFFSET"/>
        <s v="POOR ASSMBLY"/>
        <s v="ECR"/>
        <m/>
        <s v="BRKN TIP" u="1"/>
        <s v="BROKEN" u="1"/>
        <s v="FRG.LPS" u="1"/>
        <s v="U.FILL" u="1"/>
        <s v="BADSCAL" u="1"/>
        <s v="W/BDAM." u="1"/>
        <s v="CLAWEND SHORT" u="1"/>
        <s v="CRACKSF/fault" u="1"/>
        <s v="F/fault" u="1"/>
        <s v="PLSTC.MOULD.PROBLM" u="1"/>
        <s v="PLSTC.MOULD.DEFECT" u="1"/>
        <s v="BENT.OFFSET" u="1"/>
        <s v="BAD.SCAL" u="1"/>
      </sharedItems>
    </cacheField>
    <cacheField name="Quarters" numFmtId="0" databaseField="0">
      <fieldGroup base="1">
        <rangePr groupBy="quarters" startDate="2024-07-01T00:00:00" endDate="2025-06-02T00:00:00"/>
        <groupItems count="6">
          <s v="&lt;01/07/2024"/>
          <s v="Qtr1"/>
          <s v="Qtr2"/>
          <s v="Qtr3"/>
          <s v="Qtr4"/>
          <s v="&gt;02/06/2025"/>
        </groupItems>
      </fieldGroup>
    </cacheField>
    <cacheField name="Years" numFmtId="0" databaseField="0">
      <fieldGroup base="1">
        <rangePr groupBy="years" startDate="2024-07-01T00:00:00" endDate="2025-06-02T00:00:00"/>
        <groupItems count="4">
          <s v="&lt;01/07/2024"/>
          <s v="2024"/>
          <s v="2025"/>
          <s v="&gt;02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5847.470823842596" createdVersion="7" refreshedVersion="7" minRefreshableVersion="3" recordCount="308" xr:uid="{84C6B769-58E1-4DCE-B5C8-B982126A1350}">
  <cacheSource type="worksheet">
    <worksheetSource ref="C1:J1048576" sheet="SCRAP DATA"/>
  </cacheSource>
  <cacheFields count="7"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Prod Type" numFmtId="0">
      <sharedItems containsBlank="1"/>
    </cacheField>
    <cacheField name="PRODUCT" numFmtId="0">
      <sharedItems containsBlank="1" count="83">
        <s v="Ham Claw 500g Poly"/>
        <s v="Ham Drill 1.8kg P/Handle Black"/>
        <s v="Ham Spalling 6.3kg P/Handle Black CCL"/>
        <s v="Ham Claw 700g S/C Poly Handle"/>
        <s v="Ham BP 500g N/C Soft Grip"/>
        <s v="Ham Club 1.1kg S/C Soft Grip"/>
        <s v="Ham Club 1.8kg S/C Soft Grip"/>
        <s v="Bolst  Electrician 55mm "/>
        <s v="Chisel Flat Cold 12x150"/>
        <s v="Chisel Flat Cold 20x200"/>
        <s v="Chisel Flat Cold 20x250"/>
        <s v="Chisel Flat Cold 25x250"/>
        <s v="Chisel Flat Cold 25x300"/>
        <s v="Bar Wrecking 20x600mm"/>
        <s v="Bolster 100mm"/>
        <s v="Bar Crow 25x1800"/>
        <s v="Chisel Flat Cold 25x350"/>
        <s v="Hdl 1.1 Club Wood 250mm"/>
        <s v="Hdl Rake Steel Plastic"/>
        <s v="HDL Axe 900g Poly N/C Yellow "/>
        <s v="HDL BP 500g Poly N/C Soft Grip"/>
        <s v="Hdl BP Wood 350mm"/>
        <s v="Hdl BP Wood 380mm"/>
        <s v="Hdl BP Wood 425mm"/>
        <s v="Axe 0.9kg Composite"/>
        <s v="Ham BP 700g SC Poly Handle"/>
        <s v="Ham Claw 600g S/C Poly Handle"/>
        <s v="Axe 0.9kg P/Handle yellow"/>
        <s v="Bar Tommy 20x600mm"/>
        <s v="HDL  Drill 1.8 kg CB Poly Black"/>
        <s v="HDL Axe 1.8kg Poly S/C Yellow"/>
        <s v="HDL  Club 1.8kg Poly S/C Soft Grip  "/>
        <s v="Hd Slasher "/>
        <s v="Bar Wrecking 20x300mm"/>
        <s v="Ham log Splitter 2.5kg S/C 800"/>
        <s v="Rake Head"/>
        <s v="Chisel Flat Cold 22x225"/>
        <s v="Hdl Boiler Scaling Wood "/>
        <s v="Ham Sledge 6.3kg P/Handle Black CCL"/>
        <s v="Ham BP 1100 N/C Soft Grip"/>
        <s v="Ham Sledge 1.8kg .S/C Soft Grip"/>
        <s v="Bar Wrecking 20x750mm"/>
        <s v="Hdl Broom Steel Plastic"/>
        <s v="Ham Scutch S/C Soft Grip"/>
        <s v="Axe 1.8kg P/Handle yellow"/>
        <s v="Ham Sledge 3.6kg P/Handle Black CCL"/>
        <s v="Ham BP 200g Nylon Black"/>
        <s v="Chisel Concrete 25x300"/>
        <s v="Bar Tommy 20x450mm"/>
        <s v="Ham Sledge 6.3kg S/C Soft Grip"/>
        <s v="Chisel Flat Cold 16x175"/>
        <s v="Hd Broom 300mm Brite / Fitting"/>
        <s v="Knife Double Edge Slasher"/>
        <s v="Ham Sledge 4.5kg  S/C Soft Grip"/>
        <s v="Bar Wrecking 20x450mm"/>
        <s v="Bar Wrecking 20x900mm"/>
        <s v="HDL Claw  Poly S/C Soft Grip"/>
        <s v="HDL BP  700/1100g Poly  N/C  Soft Grip"/>
        <s v="HDL  Club 1.1kg Poly S/C Soft Grip  "/>
        <s v="HDL Scutch  Poly S/C Soft Grip "/>
        <s v="Hdl Joiner 200g Nylon Poly"/>
        <s v="Hdl Sledge 3.6kg 600 Poly Soft Grip"/>
        <s v="Hammer Chipping"/>
        <s v="Hdl Sledge 6.3kg 800 Poly Soft Grip"/>
        <s v="Ham BP 900g N/C Soft Grip"/>
        <s v="HDL BP 100g Poly N/C Soft Grip"/>
        <m/>
        <s v="Ham Sledge 1.8kg RW Wood" u="1"/>
        <s v="Ham Sledge 3.6kg RW Wood" u="1"/>
        <s v="Ham BP 100g RW Wood" u="1"/>
        <s v="Ham BP 200g RW Wood" u="1"/>
        <s v="Ham BP 700g RW Wood" u="1"/>
        <s v="Bolster 100mm PVC Grip" u="1"/>
        <s v="Rake Combination" u="1"/>
        <s v="Digging Bars " u="1"/>
        <s v="Hdl BP Wood 280mm" u="1"/>
        <s v="Hdl Claw Wood 345mm" u="1"/>
        <s v="Hdl Joiner Wood 280mm" u="1"/>
        <s v="Knife Hacking PVC Grip" u="1"/>
        <s v="Hdl BP Wood 400mm" u="1"/>
        <s v="Ham Claw 600g RW Wood" u="1"/>
        <s v="Chisel Flat Cold 12x200" u="1"/>
        <s v="Hdl BP Wood 330mm" u="1"/>
      </sharedItems>
    </cacheField>
    <cacheField name="Qty" numFmtId="0">
      <sharedItems containsString="0" containsBlank="1" containsNumber="1" containsInteger="1" minValue="1" maxValue="292"/>
    </cacheField>
    <cacheField name="Unit Cost" numFmtId="0">
      <sharedItems containsString="0" containsBlank="1" containsNumber="1" minValue="5.99" maxValue="386.36"/>
    </cacheField>
    <cacheField name="Total Cost" numFmtId="0">
      <sharedItems containsString="0" containsBlank="1" containsNumber="1" minValue="6.26" maxValue="22451.88"/>
    </cacheField>
    <cacheField name="Scrap Type " numFmtId="0">
      <sharedItems containsBlank="1" count="25">
        <s v="CLW END.SHRT"/>
        <s v="BAD.FRG"/>
        <s v="CRACK"/>
        <s v="DAM.EYE"/>
        <s v="WL.DAM"/>
        <s v="BRKN.TIP"/>
        <s v="BRKN"/>
        <s v="MOULDING PROBLEM"/>
        <s v="TEST SAMPLES"/>
        <s v="BENT/ OFFSET"/>
        <s v="POOR ASSMBLY"/>
        <s v="ECR"/>
        <m/>
        <s v="BRKN TIP" u="1"/>
        <s v="BROKEN" u="1"/>
        <s v="FRG.LPS" u="1"/>
        <s v="U.FILL" u="1"/>
        <s v="BADSCAL" u="1"/>
        <s v="W/BDAM." u="1"/>
        <s v="CLAWEND SHORT" u="1"/>
        <s v="CRACKSF/fault" u="1"/>
        <s v="F/fault" u="1"/>
        <s v="PLSTC.MOULD.DEFECT" u="1"/>
        <s v="BENT.OFFSET" u="1"/>
        <s v="BAD.SCA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s v="JULY"/>
    <x v="0"/>
    <x v="0"/>
    <x v="0"/>
    <x v="0"/>
    <n v="4"/>
    <n v="72.31"/>
    <n v="289.24"/>
    <x v="0"/>
  </r>
  <r>
    <s v="JULY"/>
    <x v="0"/>
    <x v="0"/>
    <x v="0"/>
    <x v="1"/>
    <n v="13"/>
    <n v="114.33"/>
    <n v="1486.29"/>
    <x v="1"/>
  </r>
  <r>
    <s v="JULY"/>
    <x v="0"/>
    <x v="0"/>
    <x v="0"/>
    <x v="2"/>
    <n v="5"/>
    <n v="358.99"/>
    <n v="1794.95"/>
    <x v="2"/>
  </r>
  <r>
    <s v="JULY"/>
    <x v="0"/>
    <x v="0"/>
    <x v="0"/>
    <x v="3"/>
    <n v="2"/>
    <n v="85.75"/>
    <n v="171.5"/>
    <x v="0"/>
  </r>
  <r>
    <s v="JULY"/>
    <x v="0"/>
    <x v="0"/>
    <x v="0"/>
    <x v="4"/>
    <n v="6"/>
    <n v="77.69"/>
    <n v="466.14"/>
    <x v="3"/>
  </r>
  <r>
    <s v="JULY"/>
    <x v="0"/>
    <x v="0"/>
    <x v="0"/>
    <x v="5"/>
    <n v="3"/>
    <n v="97.22"/>
    <n v="291.65999999999997"/>
    <x v="3"/>
  </r>
  <r>
    <s v="JULY"/>
    <x v="0"/>
    <x v="0"/>
    <x v="0"/>
    <x v="6"/>
    <n v="10"/>
    <n v="85"/>
    <n v="850"/>
    <x v="3"/>
  </r>
  <r>
    <s v="JULY"/>
    <x v="0"/>
    <x v="0"/>
    <x v="1"/>
    <x v="7"/>
    <n v="3"/>
    <n v="32.32"/>
    <n v="96.960000000000008"/>
    <x v="4"/>
  </r>
  <r>
    <s v="JULY"/>
    <x v="0"/>
    <x v="0"/>
    <x v="1"/>
    <x v="8"/>
    <n v="3"/>
    <n v="16.079999999999998"/>
    <n v="48.239999999999995"/>
    <x v="4"/>
  </r>
  <r>
    <s v="JULY"/>
    <x v="0"/>
    <x v="0"/>
    <x v="1"/>
    <x v="9"/>
    <n v="2"/>
    <n v="23.91"/>
    <n v="47.82"/>
    <x v="4"/>
  </r>
  <r>
    <s v="JULY"/>
    <x v="0"/>
    <x v="0"/>
    <x v="1"/>
    <x v="10"/>
    <n v="2"/>
    <n v="27.14"/>
    <n v="54.28"/>
    <x v="4"/>
  </r>
  <r>
    <s v="JULY"/>
    <x v="0"/>
    <x v="0"/>
    <x v="1"/>
    <x v="11"/>
    <n v="7"/>
    <n v="34.83"/>
    <n v="243.81"/>
    <x v="4"/>
  </r>
  <r>
    <s v="JULY"/>
    <x v="0"/>
    <x v="0"/>
    <x v="1"/>
    <x v="12"/>
    <n v="4"/>
    <n v="38.270000000000003"/>
    <n v="153.08000000000001"/>
    <x v="4"/>
  </r>
  <r>
    <s v="JULY"/>
    <x v="0"/>
    <x v="0"/>
    <x v="1"/>
    <x v="13"/>
    <n v="2"/>
    <n v="64.459999999999994"/>
    <n v="128.91999999999999"/>
    <x v="4"/>
  </r>
  <r>
    <s v="JULY"/>
    <x v="0"/>
    <x v="0"/>
    <x v="1"/>
    <x v="14"/>
    <n v="10"/>
    <n v="49.25"/>
    <n v="492.5"/>
    <x v="1"/>
  </r>
  <r>
    <s v="JULY"/>
    <x v="0"/>
    <x v="0"/>
    <x v="1"/>
    <x v="15"/>
    <n v="3"/>
    <n v="188.56"/>
    <n v="565.68000000000006"/>
    <x v="1"/>
  </r>
  <r>
    <s v="JULY"/>
    <x v="0"/>
    <x v="0"/>
    <x v="1"/>
    <x v="9"/>
    <n v="3"/>
    <n v="23.91"/>
    <n v="71.73"/>
    <x v="5"/>
  </r>
  <r>
    <s v="JULY"/>
    <x v="0"/>
    <x v="0"/>
    <x v="1"/>
    <x v="16"/>
    <n v="4"/>
    <n v="44.78"/>
    <n v="179.12"/>
    <x v="5"/>
  </r>
  <r>
    <s v="JULY"/>
    <x v="0"/>
    <x v="0"/>
    <x v="2"/>
    <x v="17"/>
    <n v="19"/>
    <n v="13.99"/>
    <n v="265.81"/>
    <x v="2"/>
  </r>
  <r>
    <s v="JULY"/>
    <x v="0"/>
    <x v="0"/>
    <x v="2"/>
    <x v="18"/>
    <n v="21"/>
    <n v="11.59"/>
    <n v="243.39"/>
    <x v="6"/>
  </r>
  <r>
    <s v="JULY"/>
    <x v="0"/>
    <x v="0"/>
    <x v="2"/>
    <x v="19"/>
    <n v="10"/>
    <n v="20.72"/>
    <n v="207.2"/>
    <x v="7"/>
  </r>
  <r>
    <s v="JULY"/>
    <x v="0"/>
    <x v="0"/>
    <x v="2"/>
    <x v="20"/>
    <n v="2"/>
    <n v="23.07"/>
    <n v="46.14"/>
    <x v="7"/>
  </r>
  <r>
    <s v="JULY"/>
    <x v="0"/>
    <x v="0"/>
    <x v="2"/>
    <x v="21"/>
    <n v="5"/>
    <n v="21.61"/>
    <n v="108.05"/>
    <x v="2"/>
  </r>
  <r>
    <s v="JULY"/>
    <x v="0"/>
    <x v="0"/>
    <x v="2"/>
    <x v="22"/>
    <n v="1"/>
    <n v="22.61"/>
    <n v="22.61"/>
    <x v="2"/>
  </r>
  <r>
    <s v="JULY"/>
    <x v="0"/>
    <x v="0"/>
    <x v="2"/>
    <x v="23"/>
    <n v="1"/>
    <n v="19.97"/>
    <n v="19.97"/>
    <x v="2"/>
  </r>
  <r>
    <s v="JULY"/>
    <x v="0"/>
    <x v="0"/>
    <x v="0"/>
    <x v="0"/>
    <n v="2"/>
    <n v="72.31"/>
    <n v="144.62"/>
    <x v="8"/>
  </r>
  <r>
    <s v="JULY"/>
    <x v="0"/>
    <x v="0"/>
    <x v="0"/>
    <x v="1"/>
    <n v="1"/>
    <n v="114.33"/>
    <n v="114.33"/>
    <x v="8"/>
  </r>
  <r>
    <s v="JULY"/>
    <x v="0"/>
    <x v="0"/>
    <x v="0"/>
    <x v="6"/>
    <n v="2"/>
    <n v="85"/>
    <n v="170"/>
    <x v="8"/>
  </r>
  <r>
    <s v="AUGUST"/>
    <x v="1"/>
    <x v="0"/>
    <x v="0"/>
    <x v="24"/>
    <n v="1"/>
    <n v="76.89"/>
    <n v="76.89"/>
    <x v="1"/>
  </r>
  <r>
    <s v="AUGUST"/>
    <x v="1"/>
    <x v="0"/>
    <x v="0"/>
    <x v="0"/>
    <n v="6"/>
    <n v="72.31"/>
    <n v="433.86"/>
    <x v="1"/>
  </r>
  <r>
    <s v="AUGUST"/>
    <x v="1"/>
    <x v="0"/>
    <x v="0"/>
    <x v="1"/>
    <n v="20"/>
    <n v="114.33"/>
    <n v="2286.6"/>
    <x v="1"/>
  </r>
  <r>
    <s v="AUGUST"/>
    <x v="1"/>
    <x v="0"/>
    <x v="0"/>
    <x v="25"/>
    <n v="2"/>
    <n v="89.05"/>
    <n v="178.1"/>
    <x v="1"/>
  </r>
  <r>
    <s v="AUGUST"/>
    <x v="1"/>
    <x v="0"/>
    <x v="0"/>
    <x v="3"/>
    <n v="13"/>
    <n v="85.75"/>
    <n v="1114.75"/>
    <x v="1"/>
  </r>
  <r>
    <s v="AUGUST"/>
    <x v="1"/>
    <x v="0"/>
    <x v="0"/>
    <x v="0"/>
    <n v="2"/>
    <n v="72.31"/>
    <n v="144.62"/>
    <x v="0"/>
  </r>
  <r>
    <s v="AUGUST"/>
    <x v="1"/>
    <x v="0"/>
    <x v="0"/>
    <x v="26"/>
    <n v="2"/>
    <n v="79.94"/>
    <n v="159.88"/>
    <x v="0"/>
  </r>
  <r>
    <s v="AUGUST"/>
    <x v="1"/>
    <x v="0"/>
    <x v="0"/>
    <x v="27"/>
    <n v="2"/>
    <n v="108.39"/>
    <n v="216.78"/>
    <x v="4"/>
  </r>
  <r>
    <s v="AUGUST"/>
    <x v="1"/>
    <x v="0"/>
    <x v="1"/>
    <x v="14"/>
    <n v="14"/>
    <n v="49.25"/>
    <n v="689.5"/>
    <x v="4"/>
  </r>
  <r>
    <s v="AUGUST"/>
    <x v="1"/>
    <x v="0"/>
    <x v="1"/>
    <x v="7"/>
    <n v="8"/>
    <n v="32.32"/>
    <n v="258.56"/>
    <x v="4"/>
  </r>
  <r>
    <s v="AUGUST"/>
    <x v="1"/>
    <x v="0"/>
    <x v="1"/>
    <x v="9"/>
    <n v="2"/>
    <n v="23.91"/>
    <n v="47.82"/>
    <x v="4"/>
  </r>
  <r>
    <s v="AUGUST"/>
    <x v="1"/>
    <x v="0"/>
    <x v="1"/>
    <x v="10"/>
    <n v="1"/>
    <n v="27.14"/>
    <n v="27.14"/>
    <x v="4"/>
  </r>
  <r>
    <s v="AUGUST"/>
    <x v="1"/>
    <x v="0"/>
    <x v="1"/>
    <x v="12"/>
    <n v="4"/>
    <n v="38.270000000000003"/>
    <n v="153.08000000000001"/>
    <x v="4"/>
  </r>
  <r>
    <s v="AUGUST"/>
    <x v="1"/>
    <x v="0"/>
    <x v="1"/>
    <x v="16"/>
    <n v="1"/>
    <n v="44.78"/>
    <n v="44.78"/>
    <x v="4"/>
  </r>
  <r>
    <s v="AUGUST"/>
    <x v="1"/>
    <x v="0"/>
    <x v="1"/>
    <x v="28"/>
    <n v="15"/>
    <n v="53.57"/>
    <n v="803.55"/>
    <x v="4"/>
  </r>
  <r>
    <s v="AUGUST"/>
    <x v="1"/>
    <x v="0"/>
    <x v="1"/>
    <x v="14"/>
    <n v="2"/>
    <n v="49.25"/>
    <n v="98.5"/>
    <x v="1"/>
  </r>
  <r>
    <s v="AUGUST"/>
    <x v="1"/>
    <x v="0"/>
    <x v="1"/>
    <x v="16"/>
    <n v="3"/>
    <n v="44.78"/>
    <n v="134.34"/>
    <x v="9"/>
  </r>
  <r>
    <s v="AUGUST"/>
    <x v="1"/>
    <x v="0"/>
    <x v="2"/>
    <x v="29"/>
    <n v="1"/>
    <n v="15.38"/>
    <n v="15.38"/>
    <x v="7"/>
  </r>
  <r>
    <s v="AUGUST"/>
    <x v="1"/>
    <x v="0"/>
    <x v="2"/>
    <x v="30"/>
    <n v="18"/>
    <n v="52.3"/>
    <n v="941.4"/>
    <x v="7"/>
  </r>
  <r>
    <s v="AUGUST"/>
    <x v="1"/>
    <x v="0"/>
    <x v="2"/>
    <x v="31"/>
    <n v="1"/>
    <n v="20.04"/>
    <n v="20.04"/>
    <x v="7"/>
  </r>
  <r>
    <s v="AUGUST"/>
    <x v="1"/>
    <x v="0"/>
    <x v="2"/>
    <x v="18"/>
    <n v="26"/>
    <n v="11.59"/>
    <n v="301.33999999999997"/>
    <x v="6"/>
  </r>
  <r>
    <s v="AUGUST"/>
    <x v="1"/>
    <x v="0"/>
    <x v="2"/>
    <x v="29"/>
    <n v="8"/>
    <n v="15.38"/>
    <n v="123.04"/>
    <x v="10"/>
  </r>
  <r>
    <s v="AUGUST"/>
    <x v="1"/>
    <x v="0"/>
    <x v="2"/>
    <x v="31"/>
    <n v="1"/>
    <n v="20.04"/>
    <n v="20.04"/>
    <x v="10"/>
  </r>
  <r>
    <s v="AUGUST"/>
    <x v="1"/>
    <x v="0"/>
    <x v="2"/>
    <x v="32"/>
    <n v="9"/>
    <n v="40.71"/>
    <n v="366.39"/>
    <x v="10"/>
  </r>
  <r>
    <s v="AUGUST"/>
    <x v="1"/>
    <x v="0"/>
    <x v="1"/>
    <x v="33"/>
    <n v="3"/>
    <n v="46.91"/>
    <n v="140.72999999999999"/>
    <x v="1"/>
  </r>
  <r>
    <s v="SEPTEMBER"/>
    <x v="2"/>
    <x v="0"/>
    <x v="0"/>
    <x v="1"/>
    <n v="7"/>
    <n v="114.33"/>
    <n v="800.31"/>
    <x v="1"/>
  </r>
  <r>
    <s v="SEPTEMBER"/>
    <x v="2"/>
    <x v="0"/>
    <x v="0"/>
    <x v="34"/>
    <n v="4"/>
    <n v="142.27000000000001"/>
    <n v="569.08000000000004"/>
    <x v="1"/>
  </r>
  <r>
    <s v="SEPTEMBER"/>
    <x v="2"/>
    <x v="0"/>
    <x v="0"/>
    <x v="3"/>
    <n v="14"/>
    <n v="85.75"/>
    <n v="1200.5"/>
    <x v="0"/>
  </r>
  <r>
    <s v="SEPTEMBER"/>
    <x v="2"/>
    <x v="0"/>
    <x v="0"/>
    <x v="6"/>
    <n v="4"/>
    <n v="85"/>
    <n v="340"/>
    <x v="3"/>
  </r>
  <r>
    <s v="SEPTEMBER"/>
    <x v="2"/>
    <x v="0"/>
    <x v="0"/>
    <x v="35"/>
    <n v="8"/>
    <n v="30.18"/>
    <n v="692.16"/>
    <x v="7"/>
  </r>
  <r>
    <s v="SEPTEMBER"/>
    <x v="2"/>
    <x v="0"/>
    <x v="1"/>
    <x v="14"/>
    <n v="9"/>
    <n v="49.25"/>
    <n v="443.25"/>
    <x v="1"/>
  </r>
  <r>
    <s v="SEPTEMBER"/>
    <x v="2"/>
    <x v="0"/>
    <x v="1"/>
    <x v="16"/>
    <n v="7"/>
    <n v="44.78"/>
    <n v="313.46000000000004"/>
    <x v="1"/>
  </r>
  <r>
    <s v="SEPTEMBER"/>
    <x v="2"/>
    <x v="0"/>
    <x v="1"/>
    <x v="36"/>
    <n v="3"/>
    <n v="26.1"/>
    <n v="78.300000000000011"/>
    <x v="4"/>
  </r>
  <r>
    <s v="SEPTEMBER"/>
    <x v="2"/>
    <x v="0"/>
    <x v="1"/>
    <x v="10"/>
    <n v="7"/>
    <n v="27.14"/>
    <n v="189.98000000000002"/>
    <x v="4"/>
  </r>
  <r>
    <s v="SEPTEMBER"/>
    <x v="2"/>
    <x v="0"/>
    <x v="2"/>
    <x v="37"/>
    <n v="3"/>
    <n v="7.62"/>
    <n v="22.86"/>
    <x v="6"/>
  </r>
  <r>
    <s v="SEPTEMBER"/>
    <x v="2"/>
    <x v="0"/>
    <x v="2"/>
    <x v="18"/>
    <n v="10"/>
    <n v="11.59"/>
    <n v="115.9"/>
    <x v="6"/>
  </r>
  <r>
    <s v="OCTOBER"/>
    <x v="3"/>
    <x v="0"/>
    <x v="0"/>
    <x v="0"/>
    <n v="14"/>
    <n v="72.31"/>
    <n v="1012.34"/>
    <x v="1"/>
  </r>
  <r>
    <s v="OCTOBER"/>
    <x v="3"/>
    <x v="0"/>
    <x v="0"/>
    <x v="1"/>
    <n v="13"/>
    <n v="114.33"/>
    <n v="1486.29"/>
    <x v="1"/>
  </r>
  <r>
    <s v="OCTOBER"/>
    <x v="3"/>
    <x v="0"/>
    <x v="2"/>
    <x v="38"/>
    <n v="1"/>
    <n v="358"/>
    <n v="358"/>
    <x v="1"/>
  </r>
  <r>
    <s v="OCTOBER"/>
    <x v="3"/>
    <x v="0"/>
    <x v="0"/>
    <x v="39"/>
    <n v="1"/>
    <n v="115.36"/>
    <n v="115.36"/>
    <x v="1"/>
  </r>
  <r>
    <s v="OCTOBER"/>
    <x v="3"/>
    <x v="0"/>
    <x v="0"/>
    <x v="5"/>
    <n v="2"/>
    <n v="97.22"/>
    <n v="194.44"/>
    <x v="1"/>
  </r>
  <r>
    <s v="OCTOBER"/>
    <x v="3"/>
    <x v="0"/>
    <x v="0"/>
    <x v="6"/>
    <n v="6"/>
    <n v="85"/>
    <n v="510"/>
    <x v="1"/>
  </r>
  <r>
    <s v="OCTOBER"/>
    <x v="3"/>
    <x v="0"/>
    <x v="0"/>
    <x v="40"/>
    <n v="4"/>
    <n v="126.16"/>
    <n v="504.64"/>
    <x v="1"/>
  </r>
  <r>
    <s v="OCTOBER"/>
    <x v="3"/>
    <x v="0"/>
    <x v="0"/>
    <x v="27"/>
    <n v="18"/>
    <n v="108.39"/>
    <n v="1951.02"/>
    <x v="1"/>
  </r>
  <r>
    <s v="OCTOBER"/>
    <x v="3"/>
    <x v="0"/>
    <x v="0"/>
    <x v="3"/>
    <n v="28"/>
    <n v="85.75"/>
    <n v="2401"/>
    <x v="0"/>
  </r>
  <r>
    <s v="OCTOBER"/>
    <x v="3"/>
    <x v="0"/>
    <x v="0"/>
    <x v="0"/>
    <n v="4"/>
    <n v="72.31"/>
    <n v="289.24"/>
    <x v="8"/>
  </r>
  <r>
    <s v="OCTOBER"/>
    <x v="3"/>
    <x v="0"/>
    <x v="1"/>
    <x v="14"/>
    <n v="8"/>
    <n v="49.25"/>
    <n v="394"/>
    <x v="4"/>
  </r>
  <r>
    <s v="OCTOBER"/>
    <x v="3"/>
    <x v="0"/>
    <x v="1"/>
    <x v="7"/>
    <n v="10"/>
    <n v="32.32"/>
    <n v="323.2"/>
    <x v="4"/>
  </r>
  <r>
    <s v="OCTOBER"/>
    <x v="3"/>
    <x v="0"/>
    <x v="1"/>
    <x v="10"/>
    <n v="1"/>
    <n v="27.14"/>
    <n v="27.14"/>
    <x v="4"/>
  </r>
  <r>
    <s v="OCTOBER"/>
    <x v="3"/>
    <x v="0"/>
    <x v="1"/>
    <x v="12"/>
    <n v="43"/>
    <n v="38.270000000000003"/>
    <n v="1645.6100000000001"/>
    <x v="4"/>
  </r>
  <r>
    <s v="OCTOBER"/>
    <x v="3"/>
    <x v="0"/>
    <x v="1"/>
    <x v="16"/>
    <n v="3"/>
    <n v="44.78"/>
    <n v="134.34"/>
    <x v="4"/>
  </r>
  <r>
    <s v="OCTOBER"/>
    <x v="3"/>
    <x v="0"/>
    <x v="1"/>
    <x v="41"/>
    <n v="1"/>
    <n v="73.53"/>
    <n v="73.53"/>
    <x v="4"/>
  </r>
  <r>
    <s v="OCTOBER"/>
    <x v="3"/>
    <x v="0"/>
    <x v="1"/>
    <x v="10"/>
    <n v="3"/>
    <n v="27.14"/>
    <n v="81.42"/>
    <x v="1"/>
  </r>
  <r>
    <s v="OCTOBER"/>
    <x v="3"/>
    <x v="0"/>
    <x v="1"/>
    <x v="28"/>
    <n v="1"/>
    <n v="53.57"/>
    <n v="53.57"/>
    <x v="1"/>
  </r>
  <r>
    <s v="OCTOBER"/>
    <x v="3"/>
    <x v="0"/>
    <x v="2"/>
    <x v="42"/>
    <n v="3"/>
    <n v="11.39"/>
    <n v="34.17"/>
    <x v="6"/>
  </r>
  <r>
    <s v="OCTOBER"/>
    <x v="3"/>
    <x v="0"/>
    <x v="2"/>
    <x v="18"/>
    <n v="43"/>
    <n v="11.59"/>
    <n v="498.37"/>
    <x v="6"/>
  </r>
  <r>
    <s v="NOVEMBER"/>
    <x v="4"/>
    <x v="0"/>
    <x v="0"/>
    <x v="0"/>
    <n v="7"/>
    <n v="72.31"/>
    <n v="506.17"/>
    <x v="1"/>
  </r>
  <r>
    <s v="NOVEMBER"/>
    <x v="4"/>
    <x v="0"/>
    <x v="0"/>
    <x v="0"/>
    <n v="6"/>
    <n v="72.31"/>
    <n v="433.86"/>
    <x v="0"/>
  </r>
  <r>
    <s v="NOVEMBER"/>
    <x v="4"/>
    <x v="0"/>
    <x v="0"/>
    <x v="0"/>
    <n v="1"/>
    <n v="72.31"/>
    <n v="72.31"/>
    <x v="0"/>
  </r>
  <r>
    <s v="NOVEMBER"/>
    <x v="4"/>
    <x v="0"/>
    <x v="2"/>
    <x v="0"/>
    <n v="2"/>
    <n v="72.31"/>
    <n v="144.62"/>
    <x v="10"/>
  </r>
  <r>
    <s v="NOVEMBER"/>
    <x v="4"/>
    <x v="0"/>
    <x v="0"/>
    <x v="1"/>
    <n v="6"/>
    <n v="114.33"/>
    <n v="685.98"/>
    <x v="1"/>
  </r>
  <r>
    <s v="NOVEMBER"/>
    <x v="4"/>
    <x v="0"/>
    <x v="0"/>
    <x v="43"/>
    <n v="1"/>
    <n v="94.25"/>
    <n v="94.25"/>
    <x v="1"/>
  </r>
  <r>
    <s v="NOVEMBER"/>
    <x v="4"/>
    <x v="0"/>
    <x v="0"/>
    <x v="3"/>
    <n v="16"/>
    <n v="85.75"/>
    <n v="1372"/>
    <x v="1"/>
  </r>
  <r>
    <s v="NOVEMBER"/>
    <x v="4"/>
    <x v="0"/>
    <x v="0"/>
    <x v="6"/>
    <n v="2"/>
    <n v="85"/>
    <n v="170"/>
    <x v="1"/>
  </r>
  <r>
    <s v="NOVEMBER"/>
    <x v="4"/>
    <x v="0"/>
    <x v="0"/>
    <x v="40"/>
    <n v="3"/>
    <n v="126.16"/>
    <n v="378.48"/>
    <x v="1"/>
  </r>
  <r>
    <s v="NOVEMBER"/>
    <x v="4"/>
    <x v="0"/>
    <x v="0"/>
    <x v="44"/>
    <n v="3"/>
    <n v="181.83"/>
    <n v="545.49"/>
    <x v="1"/>
  </r>
  <r>
    <s v="NOVEMBER"/>
    <x v="4"/>
    <x v="0"/>
    <x v="0"/>
    <x v="45"/>
    <n v="2"/>
    <n v="241.14"/>
    <n v="482.28"/>
    <x v="2"/>
  </r>
  <r>
    <s v="NOVEMBER"/>
    <x v="4"/>
    <x v="0"/>
    <x v="0"/>
    <x v="38"/>
    <n v="4"/>
    <n v="358"/>
    <n v="1432"/>
    <x v="2"/>
  </r>
  <r>
    <s v="NOVEMBER"/>
    <x v="4"/>
    <x v="0"/>
    <x v="0"/>
    <x v="3"/>
    <n v="1"/>
    <n v="85.75"/>
    <n v="85.75"/>
    <x v="0"/>
  </r>
  <r>
    <s v="NOVEMBER"/>
    <x v="4"/>
    <x v="0"/>
    <x v="0"/>
    <x v="46"/>
    <n v="1"/>
    <n v="48.76"/>
    <n v="48.76"/>
    <x v="8"/>
  </r>
  <r>
    <s v="NOVEMBER"/>
    <x v="4"/>
    <x v="0"/>
    <x v="2"/>
    <x v="45"/>
    <n v="6"/>
    <n v="241.14"/>
    <n v="1446.84"/>
    <x v="10"/>
  </r>
  <r>
    <s v="NOVEMBER"/>
    <x v="4"/>
    <x v="0"/>
    <x v="2"/>
    <x v="38"/>
    <n v="1"/>
    <n v="358"/>
    <n v="358"/>
    <x v="10"/>
  </r>
  <r>
    <s v="NOVEMBER"/>
    <x v="4"/>
    <x v="0"/>
    <x v="2"/>
    <x v="43"/>
    <n v="2"/>
    <n v="94.25"/>
    <n v="188.5"/>
    <x v="10"/>
  </r>
  <r>
    <s v="NOVEMBER"/>
    <x v="4"/>
    <x v="0"/>
    <x v="2"/>
    <x v="6"/>
    <n v="7"/>
    <n v="85"/>
    <n v="595"/>
    <x v="10"/>
  </r>
  <r>
    <s v="NOVEMBER"/>
    <x v="4"/>
    <x v="0"/>
    <x v="2"/>
    <x v="40"/>
    <n v="6"/>
    <n v="126.16"/>
    <n v="756.96"/>
    <x v="10"/>
  </r>
  <r>
    <s v="NOVEMBER"/>
    <x v="4"/>
    <x v="0"/>
    <x v="2"/>
    <x v="44"/>
    <n v="3"/>
    <n v="181.83"/>
    <n v="545.49"/>
    <x v="10"/>
  </r>
  <r>
    <s v="NOVEMBER"/>
    <x v="4"/>
    <x v="0"/>
    <x v="1"/>
    <x v="14"/>
    <n v="8"/>
    <n v="49.25"/>
    <n v="394"/>
    <x v="4"/>
  </r>
  <r>
    <s v="NOVEMBER"/>
    <x v="4"/>
    <x v="0"/>
    <x v="1"/>
    <x v="7"/>
    <n v="5"/>
    <n v="32.32"/>
    <n v="161.6"/>
    <x v="4"/>
  </r>
  <r>
    <s v="NOVEMBER"/>
    <x v="4"/>
    <x v="0"/>
    <x v="1"/>
    <x v="9"/>
    <n v="3"/>
    <n v="23.91"/>
    <n v="71.73"/>
    <x v="4"/>
  </r>
  <r>
    <s v="NOVEMBER"/>
    <x v="4"/>
    <x v="0"/>
    <x v="1"/>
    <x v="10"/>
    <n v="6"/>
    <n v="27.14"/>
    <n v="162.84"/>
    <x v="4"/>
  </r>
  <r>
    <s v="NOVEMBER"/>
    <x v="4"/>
    <x v="0"/>
    <x v="1"/>
    <x v="11"/>
    <n v="7"/>
    <n v="34.83"/>
    <n v="243.81"/>
    <x v="4"/>
  </r>
  <r>
    <s v="NOVEMBER"/>
    <x v="4"/>
    <x v="0"/>
    <x v="1"/>
    <x v="12"/>
    <n v="5"/>
    <n v="38.270000000000003"/>
    <n v="191.35000000000002"/>
    <x v="4"/>
  </r>
  <r>
    <s v="NOVEMBER"/>
    <x v="4"/>
    <x v="0"/>
    <x v="1"/>
    <x v="16"/>
    <n v="2"/>
    <n v="44.78"/>
    <n v="89.56"/>
    <x v="4"/>
  </r>
  <r>
    <s v="NOVEMBER"/>
    <x v="4"/>
    <x v="0"/>
    <x v="1"/>
    <x v="47"/>
    <n v="2"/>
    <n v="38.94"/>
    <n v="77.88"/>
    <x v="4"/>
  </r>
  <r>
    <s v="NOVEMBER"/>
    <x v="4"/>
    <x v="0"/>
    <x v="1"/>
    <x v="48"/>
    <n v="4"/>
    <n v="50.64"/>
    <n v="202.56"/>
    <x v="4"/>
  </r>
  <r>
    <s v="NOVEMBER"/>
    <x v="4"/>
    <x v="0"/>
    <x v="1"/>
    <x v="13"/>
    <n v="1"/>
    <n v="64.459999999999994"/>
    <n v="64.459999999999994"/>
    <x v="4"/>
  </r>
  <r>
    <s v="NOVEMBER"/>
    <x v="4"/>
    <x v="0"/>
    <x v="1"/>
    <x v="9"/>
    <n v="1"/>
    <n v="23.91"/>
    <n v="23.91"/>
    <x v="1"/>
  </r>
  <r>
    <s v="NOVEMBER"/>
    <x v="4"/>
    <x v="0"/>
    <x v="1"/>
    <x v="16"/>
    <n v="4"/>
    <n v="44.78"/>
    <n v="179.12"/>
    <x v="1"/>
  </r>
  <r>
    <s v="NOVEMBER"/>
    <x v="4"/>
    <x v="0"/>
    <x v="2"/>
    <x v="29"/>
    <n v="1"/>
    <n v="15.38"/>
    <n v="15.38"/>
    <x v="6"/>
  </r>
  <r>
    <s v="NOVEMBER"/>
    <x v="4"/>
    <x v="0"/>
    <x v="2"/>
    <x v="18"/>
    <n v="2"/>
    <n v="11.59"/>
    <n v="23.18"/>
    <x v="6"/>
  </r>
  <r>
    <s v="NOVEMBER"/>
    <x v="5"/>
    <x v="0"/>
    <x v="2"/>
    <x v="32"/>
    <n v="1"/>
    <n v="40.71"/>
    <n v="40.71"/>
    <x v="10"/>
  </r>
  <r>
    <s v="DECEMBER"/>
    <x v="5"/>
    <x v="0"/>
    <x v="0"/>
    <x v="0"/>
    <n v="6"/>
    <n v="72.31"/>
    <n v="433.86"/>
    <x v="1"/>
  </r>
  <r>
    <s v="DECEMBER"/>
    <x v="5"/>
    <x v="0"/>
    <x v="0"/>
    <x v="1"/>
    <n v="5"/>
    <n v="114.33"/>
    <n v="571.65"/>
    <x v="1"/>
  </r>
  <r>
    <s v="DECEMBER"/>
    <x v="5"/>
    <x v="0"/>
    <x v="0"/>
    <x v="6"/>
    <n v="1"/>
    <n v="85"/>
    <n v="85"/>
    <x v="1"/>
  </r>
  <r>
    <s v="DECEMBER"/>
    <x v="5"/>
    <x v="0"/>
    <x v="0"/>
    <x v="40"/>
    <n v="5"/>
    <n v="126.16"/>
    <n v="630.79999999999995"/>
    <x v="1"/>
  </r>
  <r>
    <s v="DECEMBER"/>
    <x v="5"/>
    <x v="0"/>
    <x v="0"/>
    <x v="35"/>
    <n v="14"/>
    <n v="30.18"/>
    <n v="422.52"/>
    <x v="7"/>
  </r>
  <r>
    <s v="DECEMBER"/>
    <x v="5"/>
    <x v="0"/>
    <x v="2"/>
    <x v="38"/>
    <n v="2"/>
    <n v="358"/>
    <n v="716"/>
    <x v="10"/>
  </r>
  <r>
    <s v="DECEMBER"/>
    <x v="5"/>
    <x v="0"/>
    <x v="2"/>
    <x v="43"/>
    <n v="1"/>
    <n v="94.25"/>
    <n v="94.25"/>
    <x v="10"/>
  </r>
  <r>
    <s v="DECEMBER"/>
    <x v="5"/>
    <x v="0"/>
    <x v="2"/>
    <x v="6"/>
    <n v="10"/>
    <n v="85"/>
    <n v="850"/>
    <x v="10"/>
  </r>
  <r>
    <s v="DECEMBER"/>
    <x v="5"/>
    <x v="0"/>
    <x v="2"/>
    <x v="49"/>
    <n v="2"/>
    <n v="386.36"/>
    <n v="772.72"/>
    <x v="10"/>
  </r>
  <r>
    <s v="DECEMBER"/>
    <x v="5"/>
    <x v="0"/>
    <x v="0"/>
    <x v="24"/>
    <n v="2"/>
    <n v="76.89"/>
    <n v="153.78"/>
    <x v="9"/>
  </r>
  <r>
    <s v="DECEMBER"/>
    <x v="5"/>
    <x v="0"/>
    <x v="1"/>
    <x v="14"/>
    <n v="3"/>
    <n v="49.25"/>
    <n v="147.75"/>
    <x v="4"/>
  </r>
  <r>
    <s v="DECEMBER"/>
    <x v="5"/>
    <x v="0"/>
    <x v="1"/>
    <x v="7"/>
    <n v="1"/>
    <n v="32.32"/>
    <n v="32.32"/>
    <x v="4"/>
  </r>
  <r>
    <s v="DECEMBER"/>
    <x v="5"/>
    <x v="0"/>
    <x v="1"/>
    <x v="9"/>
    <n v="1"/>
    <n v="23.91"/>
    <n v="23.91"/>
    <x v="4"/>
  </r>
  <r>
    <s v="DECEMBER"/>
    <x v="5"/>
    <x v="0"/>
    <x v="1"/>
    <x v="11"/>
    <n v="5"/>
    <n v="34.83"/>
    <n v="174.14999999999998"/>
    <x v="4"/>
  </r>
  <r>
    <s v="DECEMBER"/>
    <x v="5"/>
    <x v="0"/>
    <x v="1"/>
    <x v="12"/>
    <n v="7"/>
    <n v="38.270000000000003"/>
    <n v="267.89000000000004"/>
    <x v="4"/>
  </r>
  <r>
    <s v="DECEMBER"/>
    <x v="5"/>
    <x v="0"/>
    <x v="1"/>
    <x v="16"/>
    <n v="2"/>
    <n v="44.78"/>
    <n v="89.56"/>
    <x v="4"/>
  </r>
  <r>
    <s v="DECEMBER"/>
    <x v="5"/>
    <x v="0"/>
    <x v="1"/>
    <x v="41"/>
    <n v="1"/>
    <n v="73.53"/>
    <n v="73.53"/>
    <x v="4"/>
  </r>
  <r>
    <s v="DECEMBER"/>
    <x v="5"/>
    <x v="0"/>
    <x v="2"/>
    <x v="42"/>
    <n v="19"/>
    <n v="11.39"/>
    <n v="216.41000000000003"/>
    <x v="6"/>
  </r>
  <r>
    <s v="DECEMBER"/>
    <x v="5"/>
    <x v="0"/>
    <x v="2"/>
    <x v="18"/>
    <n v="31"/>
    <n v="11.59"/>
    <n v="359.29"/>
    <x v="6"/>
  </r>
  <r>
    <s v="JANUARY"/>
    <x v="6"/>
    <x v="1"/>
    <x v="0"/>
    <x v="24"/>
    <n v="15"/>
    <n v="76.89"/>
    <n v="1153.3499999999999"/>
    <x v="1"/>
  </r>
  <r>
    <s v="JANUARY"/>
    <x v="6"/>
    <x v="1"/>
    <x v="0"/>
    <x v="0"/>
    <n v="4"/>
    <n v="72.31"/>
    <n v="289.24"/>
    <x v="1"/>
  </r>
  <r>
    <s v="JANUARY"/>
    <x v="6"/>
    <x v="1"/>
    <x v="0"/>
    <x v="43"/>
    <n v="2"/>
    <n v="94.25"/>
    <n v="188.5"/>
    <x v="1"/>
  </r>
  <r>
    <s v="JANUARY"/>
    <x v="6"/>
    <x v="1"/>
    <x v="0"/>
    <x v="26"/>
    <n v="4"/>
    <n v="79.94"/>
    <n v="319.76"/>
    <x v="1"/>
  </r>
  <r>
    <s v="JANUARY"/>
    <x v="6"/>
    <x v="1"/>
    <x v="0"/>
    <x v="6"/>
    <n v="1"/>
    <n v="85"/>
    <n v="85"/>
    <x v="1"/>
  </r>
  <r>
    <s v="JANUARY"/>
    <x v="6"/>
    <x v="1"/>
    <x v="0"/>
    <x v="3"/>
    <n v="1"/>
    <n v="85.75"/>
    <n v="85.75"/>
    <x v="4"/>
  </r>
  <r>
    <s v="JANUARY"/>
    <x v="6"/>
    <x v="1"/>
    <x v="0"/>
    <x v="0"/>
    <n v="3"/>
    <n v="72.31"/>
    <n v="216.93"/>
    <x v="8"/>
  </r>
  <r>
    <s v="JANUARY"/>
    <x v="6"/>
    <x v="1"/>
    <x v="0"/>
    <x v="35"/>
    <n v="6"/>
    <n v="30.18"/>
    <n v="181.07999999999998"/>
    <x v="7"/>
  </r>
  <r>
    <s v="JANUARY"/>
    <x v="6"/>
    <x v="1"/>
    <x v="2"/>
    <x v="45"/>
    <n v="1"/>
    <n v="241.14"/>
    <n v="241.14"/>
    <x v="10"/>
  </r>
  <r>
    <s v="JANUARY"/>
    <x v="6"/>
    <x v="1"/>
    <x v="2"/>
    <x v="6"/>
    <n v="6"/>
    <n v="85"/>
    <n v="510"/>
    <x v="10"/>
  </r>
  <r>
    <s v="JANUARY"/>
    <x v="6"/>
    <x v="1"/>
    <x v="1"/>
    <x v="14"/>
    <n v="6"/>
    <n v="49.25"/>
    <n v="295.5"/>
    <x v="4"/>
  </r>
  <r>
    <s v="JANUARY"/>
    <x v="6"/>
    <x v="1"/>
    <x v="1"/>
    <x v="7"/>
    <n v="7"/>
    <n v="32.32"/>
    <n v="226.24"/>
    <x v="4"/>
  </r>
  <r>
    <s v="JANUARY"/>
    <x v="6"/>
    <x v="1"/>
    <x v="1"/>
    <x v="50"/>
    <n v="1"/>
    <n v="17.8"/>
    <n v="17.8"/>
    <x v="4"/>
  </r>
  <r>
    <s v="JANUARY"/>
    <x v="6"/>
    <x v="1"/>
    <x v="1"/>
    <x v="9"/>
    <n v="2"/>
    <n v="23.91"/>
    <n v="47.82"/>
    <x v="4"/>
  </r>
  <r>
    <s v="JANUARY"/>
    <x v="6"/>
    <x v="1"/>
    <x v="1"/>
    <x v="11"/>
    <n v="11"/>
    <n v="34.83"/>
    <n v="383.13"/>
    <x v="4"/>
  </r>
  <r>
    <s v="JANUARY"/>
    <x v="6"/>
    <x v="1"/>
    <x v="1"/>
    <x v="12"/>
    <n v="5"/>
    <n v="38.270000000000003"/>
    <n v="191.35000000000002"/>
    <x v="4"/>
  </r>
  <r>
    <s v="JANUARY"/>
    <x v="6"/>
    <x v="1"/>
    <x v="1"/>
    <x v="48"/>
    <n v="1"/>
    <n v="50.64"/>
    <n v="50.64"/>
    <x v="4"/>
  </r>
  <r>
    <s v="JANUARY"/>
    <x v="6"/>
    <x v="1"/>
    <x v="2"/>
    <x v="30"/>
    <n v="39"/>
    <n v="52.3"/>
    <n v="2039.6999999999998"/>
    <x v="7"/>
  </r>
  <r>
    <s v="JANUARY"/>
    <x v="6"/>
    <x v="1"/>
    <x v="2"/>
    <x v="18"/>
    <n v="7"/>
    <n v="11.59"/>
    <n v="81.13"/>
    <x v="6"/>
  </r>
  <r>
    <s v="JANUARY"/>
    <x v="6"/>
    <x v="1"/>
    <x v="2"/>
    <x v="51"/>
    <n v="3"/>
    <n v="36.9"/>
    <n v="110.69999999999999"/>
    <x v="6"/>
  </r>
  <r>
    <s v="JANUARY"/>
    <x v="6"/>
    <x v="1"/>
    <x v="2"/>
    <x v="51"/>
    <n v="1"/>
    <n v="36.9"/>
    <n v="36.9"/>
    <x v="10"/>
  </r>
  <r>
    <s v="FEBRUARY"/>
    <x v="7"/>
    <x v="1"/>
    <x v="0"/>
    <x v="24"/>
    <n v="1"/>
    <n v="76.89"/>
    <n v="76.89"/>
    <x v="4"/>
  </r>
  <r>
    <s v="FEBRUARY"/>
    <x v="7"/>
    <x v="1"/>
    <x v="0"/>
    <x v="0"/>
    <n v="1"/>
    <n v="72.31"/>
    <n v="72.31"/>
    <x v="4"/>
  </r>
  <r>
    <s v="FEBRUARY"/>
    <x v="7"/>
    <x v="1"/>
    <x v="0"/>
    <x v="2"/>
    <n v="3"/>
    <n v="358.99"/>
    <n v="1076.97"/>
    <x v="2"/>
  </r>
  <r>
    <s v="FEBRUARY"/>
    <x v="7"/>
    <x v="1"/>
    <x v="0"/>
    <x v="35"/>
    <n v="10"/>
    <n v="30.18"/>
    <n v="301.8"/>
    <x v="7"/>
  </r>
  <r>
    <s v="FEBRUARY"/>
    <x v="7"/>
    <x v="1"/>
    <x v="2"/>
    <x v="52"/>
    <n v="7"/>
    <n v="114.8"/>
    <n v="803.6"/>
    <x v="7"/>
  </r>
  <r>
    <s v="FEBRUARY"/>
    <x v="7"/>
    <x v="1"/>
    <x v="2"/>
    <x v="0"/>
    <n v="1"/>
    <n v="72.31"/>
    <n v="72.31"/>
    <x v="7"/>
  </r>
  <r>
    <s v="FEBRUARY"/>
    <x v="7"/>
    <x v="1"/>
    <x v="2"/>
    <x v="6"/>
    <n v="1"/>
    <n v="85"/>
    <n v="85"/>
    <x v="7"/>
  </r>
  <r>
    <s v="FEBRUARY"/>
    <x v="7"/>
    <x v="1"/>
    <x v="2"/>
    <x v="0"/>
    <n v="1"/>
    <n v="72.31"/>
    <n v="72.31"/>
    <x v="10"/>
  </r>
  <r>
    <s v="FEBRUARY"/>
    <x v="7"/>
    <x v="1"/>
    <x v="2"/>
    <x v="1"/>
    <n v="4"/>
    <n v="114.33"/>
    <n v="457.32"/>
    <x v="10"/>
  </r>
  <r>
    <s v="FEBRUARY"/>
    <x v="7"/>
    <x v="1"/>
    <x v="2"/>
    <x v="38"/>
    <n v="1"/>
    <n v="358"/>
    <n v="358"/>
    <x v="10"/>
  </r>
  <r>
    <s v="FEBRUARY"/>
    <x v="7"/>
    <x v="1"/>
    <x v="2"/>
    <x v="43"/>
    <n v="2"/>
    <n v="94.25"/>
    <n v="188.5"/>
    <x v="10"/>
  </r>
  <r>
    <s v="FEBRUARY"/>
    <x v="7"/>
    <x v="1"/>
    <x v="2"/>
    <x v="6"/>
    <n v="7"/>
    <n v="85"/>
    <n v="595"/>
    <x v="10"/>
  </r>
  <r>
    <s v="FEBRUARY"/>
    <x v="7"/>
    <x v="1"/>
    <x v="2"/>
    <x v="53"/>
    <n v="1"/>
    <n v="306.75"/>
    <n v="306.75"/>
    <x v="10"/>
  </r>
  <r>
    <s v="FEBRUARY"/>
    <x v="7"/>
    <x v="1"/>
    <x v="1"/>
    <x v="7"/>
    <n v="14"/>
    <n v="32.32"/>
    <n v="452.48"/>
    <x v="4"/>
  </r>
  <r>
    <s v="FEBRUARY"/>
    <x v="7"/>
    <x v="1"/>
    <x v="1"/>
    <x v="8"/>
    <n v="1"/>
    <n v="16.079999999999998"/>
    <n v="16.079999999999998"/>
    <x v="4"/>
  </r>
  <r>
    <s v="FEBRUARY"/>
    <x v="7"/>
    <x v="1"/>
    <x v="1"/>
    <x v="12"/>
    <n v="4"/>
    <n v="38.270000000000003"/>
    <n v="153.08000000000001"/>
    <x v="4"/>
  </r>
  <r>
    <s v="FEBRUARY"/>
    <x v="7"/>
    <x v="1"/>
    <x v="1"/>
    <x v="16"/>
    <n v="1"/>
    <n v="44.78"/>
    <n v="44.78"/>
    <x v="4"/>
  </r>
  <r>
    <s v="FEBRUARY"/>
    <x v="7"/>
    <x v="1"/>
    <x v="1"/>
    <x v="47"/>
    <n v="1"/>
    <n v="38.94"/>
    <n v="38.94"/>
    <x v="4"/>
  </r>
  <r>
    <s v="FEBRUARY"/>
    <x v="7"/>
    <x v="1"/>
    <x v="1"/>
    <x v="48"/>
    <n v="2"/>
    <n v="50.64"/>
    <n v="101.28"/>
    <x v="4"/>
  </r>
  <r>
    <s v="FEBRUARY"/>
    <x v="7"/>
    <x v="1"/>
    <x v="1"/>
    <x v="28"/>
    <n v="3"/>
    <n v="53.57"/>
    <n v="160.71"/>
    <x v="4"/>
  </r>
  <r>
    <s v="FEBRUARY"/>
    <x v="7"/>
    <x v="1"/>
    <x v="1"/>
    <x v="54"/>
    <n v="1"/>
    <n v="55.28"/>
    <n v="55.28"/>
    <x v="4"/>
  </r>
  <r>
    <s v="FEBRUARY"/>
    <x v="7"/>
    <x v="1"/>
    <x v="1"/>
    <x v="55"/>
    <n v="1"/>
    <n v="82.69"/>
    <n v="82.69"/>
    <x v="4"/>
  </r>
  <r>
    <s v="FEBRUARY"/>
    <x v="7"/>
    <x v="1"/>
    <x v="2"/>
    <x v="18"/>
    <n v="18"/>
    <n v="11.59"/>
    <n v="208.62"/>
    <x v="6"/>
  </r>
  <r>
    <s v="FEBRUARY"/>
    <x v="7"/>
    <x v="1"/>
    <x v="2"/>
    <x v="51"/>
    <n v="2"/>
    <n v="36.9"/>
    <n v="73.8"/>
    <x v="6"/>
  </r>
  <r>
    <s v="FEBRUARY"/>
    <x v="7"/>
    <x v="1"/>
    <x v="0"/>
    <x v="24"/>
    <n v="292"/>
    <n v="76.89"/>
    <n v="22451.88"/>
    <x v="1"/>
  </r>
  <r>
    <s v="FEBRUARY"/>
    <x v="7"/>
    <x v="1"/>
    <x v="0"/>
    <x v="0"/>
    <n v="5"/>
    <n v="72.31"/>
    <n v="361.55"/>
    <x v="1"/>
  </r>
  <r>
    <s v="FEBRUARY"/>
    <x v="7"/>
    <x v="1"/>
    <x v="0"/>
    <x v="1"/>
    <n v="6"/>
    <n v="114.33"/>
    <n v="685.98"/>
    <x v="1"/>
  </r>
  <r>
    <s v="FEBRUARY"/>
    <x v="7"/>
    <x v="1"/>
    <x v="0"/>
    <x v="3"/>
    <n v="10"/>
    <n v="85.75"/>
    <n v="857.5"/>
    <x v="1"/>
  </r>
  <r>
    <s v="FEBRUARY"/>
    <x v="7"/>
    <x v="1"/>
    <x v="0"/>
    <x v="44"/>
    <n v="1"/>
    <n v="181.83"/>
    <n v="181.83"/>
    <x v="1"/>
  </r>
  <r>
    <s v="MARCH"/>
    <x v="8"/>
    <x v="1"/>
    <x v="0"/>
    <x v="24"/>
    <n v="14"/>
    <n v="76.89"/>
    <n v="1076.46"/>
    <x v="1"/>
  </r>
  <r>
    <s v="MARCH"/>
    <x v="8"/>
    <x v="1"/>
    <x v="0"/>
    <x v="0"/>
    <n v="10"/>
    <n v="72.31"/>
    <n v="723.1"/>
    <x v="1"/>
  </r>
  <r>
    <s v="MARCH"/>
    <x v="8"/>
    <x v="1"/>
    <x v="0"/>
    <x v="1"/>
    <n v="5"/>
    <n v="114.33"/>
    <n v="571.65"/>
    <x v="1"/>
  </r>
  <r>
    <s v="MARCH"/>
    <x v="8"/>
    <x v="1"/>
    <x v="0"/>
    <x v="38"/>
    <n v="1"/>
    <n v="358"/>
    <n v="358"/>
    <x v="1"/>
  </r>
  <r>
    <s v="MARCH"/>
    <x v="8"/>
    <x v="1"/>
    <x v="0"/>
    <x v="43"/>
    <n v="1"/>
    <n v="94.25"/>
    <n v="94.25"/>
    <x v="1"/>
  </r>
  <r>
    <s v="MARCH"/>
    <x v="8"/>
    <x v="1"/>
    <x v="0"/>
    <x v="3"/>
    <n v="4"/>
    <n v="85.75"/>
    <n v="343"/>
    <x v="1"/>
  </r>
  <r>
    <s v="MARCH"/>
    <x v="8"/>
    <x v="1"/>
    <x v="0"/>
    <x v="6"/>
    <n v="4"/>
    <n v="85"/>
    <n v="340"/>
    <x v="1"/>
  </r>
  <r>
    <s v="MARCH"/>
    <x v="8"/>
    <x v="1"/>
    <x v="0"/>
    <x v="24"/>
    <n v="4"/>
    <n v="76.89"/>
    <n v="307.56"/>
    <x v="2"/>
  </r>
  <r>
    <s v="MARCH"/>
    <x v="8"/>
    <x v="1"/>
    <x v="0"/>
    <x v="0"/>
    <n v="3"/>
    <n v="72.31"/>
    <n v="216.93"/>
    <x v="2"/>
  </r>
  <r>
    <s v="MARCH"/>
    <x v="8"/>
    <x v="1"/>
    <x v="0"/>
    <x v="38"/>
    <n v="1"/>
    <n v="358"/>
    <n v="358"/>
    <x v="2"/>
  </r>
  <r>
    <s v="MARCH"/>
    <x v="8"/>
    <x v="1"/>
    <x v="0"/>
    <x v="0"/>
    <n v="6"/>
    <n v="72.31"/>
    <n v="433.86"/>
    <x v="0"/>
  </r>
  <r>
    <s v="MARCH"/>
    <x v="8"/>
    <x v="1"/>
    <x v="2"/>
    <x v="1"/>
    <n v="3"/>
    <n v="114.33"/>
    <n v="342.99"/>
    <x v="10"/>
  </r>
  <r>
    <s v="MARCH"/>
    <x v="8"/>
    <x v="1"/>
    <x v="2"/>
    <x v="38"/>
    <n v="4"/>
    <n v="358"/>
    <n v="1432"/>
    <x v="10"/>
  </r>
  <r>
    <s v="MARCH"/>
    <x v="8"/>
    <x v="1"/>
    <x v="2"/>
    <x v="43"/>
    <n v="2"/>
    <n v="94.25"/>
    <n v="188.5"/>
    <x v="10"/>
  </r>
  <r>
    <s v="MARCH"/>
    <x v="8"/>
    <x v="1"/>
    <x v="2"/>
    <x v="5"/>
    <n v="2"/>
    <n v="97.22"/>
    <n v="194.44"/>
    <x v="10"/>
  </r>
  <r>
    <s v="MARCH"/>
    <x v="8"/>
    <x v="1"/>
    <x v="2"/>
    <x v="6"/>
    <n v="5"/>
    <n v="85"/>
    <n v="425"/>
    <x v="10"/>
  </r>
  <r>
    <s v="MARCH"/>
    <x v="8"/>
    <x v="1"/>
    <x v="2"/>
    <x v="44"/>
    <n v="1"/>
    <n v="181.83"/>
    <n v="181.83"/>
    <x v="10"/>
  </r>
  <r>
    <s v="MARCH"/>
    <x v="8"/>
    <x v="1"/>
    <x v="1"/>
    <x v="14"/>
    <n v="5"/>
    <n v="49.25"/>
    <n v="246.25"/>
    <x v="4"/>
  </r>
  <r>
    <s v="MARCH"/>
    <x v="8"/>
    <x v="1"/>
    <x v="1"/>
    <x v="9"/>
    <n v="4"/>
    <n v="23.91"/>
    <n v="95.64"/>
    <x v="4"/>
  </r>
  <r>
    <s v="MARCH"/>
    <x v="8"/>
    <x v="1"/>
    <x v="1"/>
    <x v="12"/>
    <n v="7"/>
    <n v="38.270000000000003"/>
    <n v="267.89000000000004"/>
    <x v="4"/>
  </r>
  <r>
    <s v="MARCH"/>
    <x v="8"/>
    <x v="1"/>
    <x v="1"/>
    <x v="16"/>
    <n v="6"/>
    <n v="44.78"/>
    <n v="268.68"/>
    <x v="4"/>
  </r>
  <r>
    <s v="MARCH"/>
    <x v="8"/>
    <x v="1"/>
    <x v="1"/>
    <x v="47"/>
    <n v="10"/>
    <n v="38.94"/>
    <n v="389.4"/>
    <x v="4"/>
  </r>
  <r>
    <s v="MARCH"/>
    <x v="8"/>
    <x v="1"/>
    <x v="1"/>
    <x v="48"/>
    <n v="1"/>
    <n v="50.64"/>
    <n v="50.64"/>
    <x v="4"/>
  </r>
  <r>
    <s v="MARCH"/>
    <x v="8"/>
    <x v="1"/>
    <x v="1"/>
    <x v="14"/>
    <n v="2"/>
    <n v="49.25"/>
    <n v="98.5"/>
    <x v="1"/>
  </r>
  <r>
    <s v="MARCH"/>
    <x v="8"/>
    <x v="1"/>
    <x v="1"/>
    <x v="16"/>
    <n v="2"/>
    <n v="44.78"/>
    <n v="89.56"/>
    <x v="1"/>
  </r>
  <r>
    <s v="MARCH"/>
    <x v="8"/>
    <x v="1"/>
    <x v="2"/>
    <x v="18"/>
    <n v="19"/>
    <n v="11.59"/>
    <n v="220.21"/>
    <x v="6"/>
  </r>
  <r>
    <s v="MARCH"/>
    <x v="8"/>
    <x v="1"/>
    <x v="2"/>
    <x v="29"/>
    <n v="3"/>
    <n v="15.38"/>
    <n v="46.14"/>
    <x v="7"/>
  </r>
  <r>
    <s v="MARCH"/>
    <x v="8"/>
    <x v="1"/>
    <x v="2"/>
    <x v="30"/>
    <n v="10"/>
    <n v="52.3"/>
    <n v="523"/>
    <x v="7"/>
  </r>
  <r>
    <s v="MARCH"/>
    <x v="8"/>
    <x v="1"/>
    <x v="2"/>
    <x v="31"/>
    <n v="2"/>
    <n v="20.04"/>
    <n v="40.08"/>
    <x v="7"/>
  </r>
  <r>
    <s v="APRIL"/>
    <x v="9"/>
    <x v="1"/>
    <x v="0"/>
    <x v="24"/>
    <n v="5"/>
    <n v="76.89"/>
    <n v="384.45"/>
    <x v="1"/>
  </r>
  <r>
    <s v="APRIL"/>
    <x v="9"/>
    <x v="1"/>
    <x v="0"/>
    <x v="0"/>
    <n v="4"/>
    <n v="72.31"/>
    <n v="289.24"/>
    <x v="1"/>
  </r>
  <r>
    <s v="APRIL"/>
    <x v="9"/>
    <x v="1"/>
    <x v="0"/>
    <x v="1"/>
    <n v="3"/>
    <n v="114.33"/>
    <n v="342.99"/>
    <x v="1"/>
  </r>
  <r>
    <s v="APRIL"/>
    <x v="9"/>
    <x v="1"/>
    <x v="0"/>
    <x v="38"/>
    <n v="19"/>
    <n v="358"/>
    <n v="6802"/>
    <x v="1"/>
  </r>
  <r>
    <s v="APRIL"/>
    <x v="9"/>
    <x v="1"/>
    <x v="0"/>
    <x v="43"/>
    <n v="2"/>
    <n v="94.25"/>
    <n v="188.5"/>
    <x v="1"/>
  </r>
  <r>
    <s v="APRIL"/>
    <x v="9"/>
    <x v="1"/>
    <x v="0"/>
    <x v="3"/>
    <n v="4"/>
    <n v="85.75"/>
    <n v="343"/>
    <x v="1"/>
  </r>
  <r>
    <s v="APRIL"/>
    <x v="9"/>
    <x v="1"/>
    <x v="0"/>
    <x v="4"/>
    <n v="1"/>
    <n v="77.69"/>
    <n v="77.69"/>
    <x v="1"/>
  </r>
  <r>
    <s v="APRIL"/>
    <x v="9"/>
    <x v="1"/>
    <x v="0"/>
    <x v="39"/>
    <n v="1"/>
    <n v="115.36"/>
    <n v="115.36"/>
    <x v="1"/>
  </r>
  <r>
    <s v="APRIL"/>
    <x v="9"/>
    <x v="1"/>
    <x v="0"/>
    <x v="6"/>
    <n v="4"/>
    <n v="85"/>
    <n v="340"/>
    <x v="1"/>
  </r>
  <r>
    <s v="APRIL"/>
    <x v="9"/>
    <x v="1"/>
    <x v="0"/>
    <x v="0"/>
    <n v="2"/>
    <n v="72.31"/>
    <n v="144.62"/>
    <x v="0"/>
  </r>
  <r>
    <s v="APRIL"/>
    <x v="9"/>
    <x v="1"/>
    <x v="0"/>
    <x v="3"/>
    <n v="1"/>
    <n v="85.75"/>
    <n v="85.75"/>
    <x v="0"/>
  </r>
  <r>
    <s v="APRIL"/>
    <x v="9"/>
    <x v="1"/>
    <x v="0"/>
    <x v="45"/>
    <n v="2"/>
    <n v="241.14"/>
    <n v="482.28"/>
    <x v="8"/>
  </r>
  <r>
    <s v="APRIL"/>
    <x v="9"/>
    <x v="1"/>
    <x v="0"/>
    <x v="43"/>
    <n v="1"/>
    <n v="94.25"/>
    <n v="94.25"/>
    <x v="8"/>
  </r>
  <r>
    <s v="APRIL"/>
    <x v="9"/>
    <x v="1"/>
    <x v="0"/>
    <x v="6"/>
    <n v="1"/>
    <n v="85"/>
    <n v="85"/>
    <x v="8"/>
  </r>
  <r>
    <s v="APRIL"/>
    <x v="9"/>
    <x v="1"/>
    <x v="1"/>
    <x v="14"/>
    <n v="2"/>
    <n v="49.25"/>
    <n v="98.5"/>
    <x v="1"/>
  </r>
  <r>
    <s v="APRIL"/>
    <x v="9"/>
    <x v="1"/>
    <x v="1"/>
    <x v="9"/>
    <n v="2"/>
    <n v="23.91"/>
    <n v="47.82"/>
    <x v="1"/>
  </r>
  <r>
    <s v="APRIL"/>
    <x v="9"/>
    <x v="1"/>
    <x v="1"/>
    <x v="48"/>
    <n v="3"/>
    <n v="50.64"/>
    <n v="151.92000000000002"/>
    <x v="1"/>
  </r>
  <r>
    <s v="APRIL"/>
    <x v="9"/>
    <x v="1"/>
    <x v="1"/>
    <x v="7"/>
    <n v="4"/>
    <n v="32.32"/>
    <n v="129.28"/>
    <x v="4"/>
  </r>
  <r>
    <s v="APRIL"/>
    <x v="9"/>
    <x v="1"/>
    <x v="1"/>
    <x v="11"/>
    <n v="1"/>
    <n v="34.83"/>
    <n v="34.83"/>
    <x v="4"/>
  </r>
  <r>
    <s v="APRIL"/>
    <x v="9"/>
    <x v="1"/>
    <x v="1"/>
    <x v="12"/>
    <n v="1"/>
    <n v="38.270000000000003"/>
    <n v="38.270000000000003"/>
    <x v="4"/>
  </r>
  <r>
    <s v="APRIL"/>
    <x v="9"/>
    <x v="1"/>
    <x v="1"/>
    <x v="16"/>
    <n v="7"/>
    <n v="44.78"/>
    <n v="313.46000000000004"/>
    <x v="4"/>
  </r>
  <r>
    <s v="APRIL"/>
    <x v="9"/>
    <x v="1"/>
    <x v="1"/>
    <x v="47"/>
    <n v="7"/>
    <n v="38.94"/>
    <n v="272.58"/>
    <x v="4"/>
  </r>
  <r>
    <s v="APRIL"/>
    <x v="9"/>
    <x v="1"/>
    <x v="1"/>
    <x v="15"/>
    <n v="4"/>
    <n v="188.56"/>
    <n v="754.24"/>
    <x v="9"/>
  </r>
  <r>
    <s v="APRIL"/>
    <x v="9"/>
    <x v="1"/>
    <x v="2"/>
    <x v="29"/>
    <n v="2"/>
    <n v="15.38"/>
    <n v="30.76"/>
    <x v="7"/>
  </r>
  <r>
    <s v="APRIL"/>
    <x v="9"/>
    <x v="1"/>
    <x v="2"/>
    <x v="56"/>
    <n v="75"/>
    <n v="19.55"/>
    <n v="1466.25"/>
    <x v="7"/>
  </r>
  <r>
    <s v="APRIL"/>
    <x v="9"/>
    <x v="1"/>
    <x v="2"/>
    <x v="57"/>
    <n v="1"/>
    <n v="26"/>
    <n v="26"/>
    <x v="7"/>
  </r>
  <r>
    <s v="APRIL"/>
    <x v="9"/>
    <x v="1"/>
    <x v="2"/>
    <x v="58"/>
    <n v="1"/>
    <n v="19.75"/>
    <n v="19.75"/>
    <x v="7"/>
  </r>
  <r>
    <s v="APRIL"/>
    <x v="9"/>
    <x v="1"/>
    <x v="2"/>
    <x v="18"/>
    <n v="1"/>
    <n v="11.59"/>
    <n v="11.59"/>
    <x v="6"/>
  </r>
  <r>
    <s v="APRIL"/>
    <x v="9"/>
    <x v="1"/>
    <x v="2"/>
    <x v="32"/>
    <n v="2"/>
    <n v="40.71"/>
    <n v="81.42"/>
    <x v="6"/>
  </r>
  <r>
    <s v="APRIL"/>
    <x v="9"/>
    <x v="1"/>
    <x v="2"/>
    <x v="29"/>
    <n v="1"/>
    <n v="15.38"/>
    <n v="15.38"/>
    <x v="10"/>
  </r>
  <r>
    <s v="APRIL"/>
    <x v="9"/>
    <x v="1"/>
    <x v="2"/>
    <x v="59"/>
    <n v="2"/>
    <n v="19.739999999999998"/>
    <n v="39.479999999999997"/>
    <x v="10"/>
  </r>
  <r>
    <s v="APRIL"/>
    <x v="9"/>
    <x v="1"/>
    <x v="2"/>
    <x v="30"/>
    <n v="1"/>
    <n v="52.3"/>
    <n v="52.3"/>
    <x v="10"/>
  </r>
  <r>
    <s v="APRIL"/>
    <x v="9"/>
    <x v="1"/>
    <x v="2"/>
    <x v="60"/>
    <n v="1"/>
    <n v="6.26"/>
    <n v="6.26"/>
    <x v="10"/>
  </r>
  <r>
    <s v="APRIL"/>
    <x v="9"/>
    <x v="1"/>
    <x v="2"/>
    <x v="31"/>
    <n v="7"/>
    <n v="20.04"/>
    <n v="140.28"/>
    <x v="10"/>
  </r>
  <r>
    <s v="APRIL"/>
    <x v="9"/>
    <x v="1"/>
    <x v="2"/>
    <x v="58"/>
    <n v="2"/>
    <n v="19.75"/>
    <n v="39.5"/>
    <x v="10"/>
  </r>
  <r>
    <s v="APRIL"/>
    <x v="9"/>
    <x v="1"/>
    <x v="2"/>
    <x v="61"/>
    <n v="1"/>
    <n v="81.11"/>
    <n v="81.11"/>
    <x v="10"/>
  </r>
  <r>
    <s v="APRIL"/>
    <x v="9"/>
    <x v="1"/>
    <x v="2"/>
    <x v="57"/>
    <n v="80"/>
    <n v="26"/>
    <n v="2080"/>
    <x v="11"/>
  </r>
  <r>
    <s v="MAY"/>
    <x v="10"/>
    <x v="1"/>
    <x v="0"/>
    <x v="35"/>
    <n v="4"/>
    <n v="30.18"/>
    <n v="120.72"/>
    <x v="7"/>
  </r>
  <r>
    <s v="MAY"/>
    <x v="10"/>
    <x v="1"/>
    <x v="0"/>
    <x v="0"/>
    <n v="9"/>
    <n v="72.31"/>
    <n v="650.79"/>
    <x v="1"/>
  </r>
  <r>
    <s v="MAY"/>
    <x v="10"/>
    <x v="1"/>
    <x v="0"/>
    <x v="0"/>
    <n v="6"/>
    <n v="72.31"/>
    <n v="433.86"/>
    <x v="0"/>
  </r>
  <r>
    <s v="MAY"/>
    <x v="10"/>
    <x v="1"/>
    <x v="0"/>
    <x v="0"/>
    <n v="1"/>
    <n v="72.31"/>
    <n v="72.31"/>
    <x v="4"/>
  </r>
  <r>
    <s v="MAY"/>
    <x v="10"/>
    <x v="1"/>
    <x v="0"/>
    <x v="3"/>
    <n v="23"/>
    <n v="85.75"/>
    <n v="1972.25"/>
    <x v="0"/>
  </r>
  <r>
    <s v="MAY"/>
    <x v="10"/>
    <x v="1"/>
    <x v="0"/>
    <x v="4"/>
    <n v="1"/>
    <n v="77.69"/>
    <n v="77.69"/>
    <x v="1"/>
  </r>
  <r>
    <s v="MAY"/>
    <x v="10"/>
    <x v="1"/>
    <x v="0"/>
    <x v="6"/>
    <n v="1"/>
    <n v="85"/>
    <n v="85"/>
    <x v="1"/>
  </r>
  <r>
    <s v="MAY"/>
    <x v="10"/>
    <x v="1"/>
    <x v="1"/>
    <x v="7"/>
    <n v="9"/>
    <n v="32.32"/>
    <n v="290.88"/>
    <x v="4"/>
  </r>
  <r>
    <s v="MAY"/>
    <x v="10"/>
    <x v="1"/>
    <x v="1"/>
    <x v="8"/>
    <n v="1"/>
    <n v="16.079999999999998"/>
    <n v="16.079999999999998"/>
    <x v="4"/>
  </r>
  <r>
    <s v="MAY"/>
    <x v="10"/>
    <x v="1"/>
    <x v="1"/>
    <x v="9"/>
    <n v="4"/>
    <n v="23.91"/>
    <n v="95.64"/>
    <x v="4"/>
  </r>
  <r>
    <s v="MAY"/>
    <x v="10"/>
    <x v="1"/>
    <x v="1"/>
    <x v="10"/>
    <n v="3"/>
    <n v="27.14"/>
    <n v="81.42"/>
    <x v="4"/>
  </r>
  <r>
    <s v="MAY"/>
    <x v="10"/>
    <x v="1"/>
    <x v="1"/>
    <x v="16"/>
    <n v="5"/>
    <n v="44.78"/>
    <n v="223.9"/>
    <x v="4"/>
  </r>
  <r>
    <s v="MAY"/>
    <x v="10"/>
    <x v="1"/>
    <x v="1"/>
    <x v="54"/>
    <n v="1"/>
    <n v="55.28"/>
    <n v="55.28"/>
    <x v="4"/>
  </r>
  <r>
    <s v="MAY"/>
    <x v="10"/>
    <x v="1"/>
    <x v="1"/>
    <x v="62"/>
    <n v="28"/>
    <n v="43.37"/>
    <n v="1214.3599999999999"/>
    <x v="5"/>
  </r>
  <r>
    <s v="MAY"/>
    <x v="10"/>
    <x v="1"/>
    <x v="1"/>
    <x v="28"/>
    <n v="1"/>
    <n v="53.57"/>
    <n v="53.57"/>
    <x v="1"/>
  </r>
  <r>
    <s v="MAY"/>
    <x v="10"/>
    <x v="1"/>
    <x v="2"/>
    <x v="18"/>
    <n v="22"/>
    <n v="11.59"/>
    <n v="254.98"/>
    <x v="6"/>
  </r>
  <r>
    <s v="MAY"/>
    <x v="10"/>
    <x v="1"/>
    <x v="2"/>
    <x v="59"/>
    <n v="7"/>
    <n v="19.739999999999998"/>
    <n v="138.17999999999998"/>
    <x v="7"/>
  </r>
  <r>
    <s v="MAY"/>
    <x v="10"/>
    <x v="1"/>
    <x v="2"/>
    <x v="19"/>
    <n v="7"/>
    <n v="20.72"/>
    <n v="145.04"/>
    <x v="7"/>
  </r>
  <r>
    <s v="MAY"/>
    <x v="10"/>
    <x v="1"/>
    <x v="2"/>
    <x v="20"/>
    <n v="172"/>
    <n v="23.07"/>
    <n v="3968.04"/>
    <x v="11"/>
  </r>
  <r>
    <s v="MAY"/>
    <x v="10"/>
    <x v="1"/>
    <x v="2"/>
    <x v="58"/>
    <n v="5"/>
    <n v="19.75"/>
    <n v="98.75"/>
    <x v="7"/>
  </r>
  <r>
    <s v="MAY"/>
    <x v="10"/>
    <x v="1"/>
    <x v="2"/>
    <x v="63"/>
    <n v="5"/>
    <n v="82.97"/>
    <n v="414.85"/>
    <x v="7"/>
  </r>
  <r>
    <s v="MAY"/>
    <x v="10"/>
    <x v="1"/>
    <x v="2"/>
    <x v="18"/>
    <n v="14"/>
    <n v="11.59"/>
    <n v="162.26"/>
    <x v="7"/>
  </r>
  <r>
    <s v="MAY"/>
    <x v="10"/>
    <x v="1"/>
    <x v="2"/>
    <x v="29"/>
    <n v="14"/>
    <n v="15.38"/>
    <n v="215.32000000000002"/>
    <x v="10"/>
  </r>
  <r>
    <s v="MAY"/>
    <x v="10"/>
    <x v="1"/>
    <x v="2"/>
    <x v="56"/>
    <n v="3"/>
    <n v="19.55"/>
    <n v="58.650000000000006"/>
    <x v="10"/>
  </r>
  <r>
    <s v="MAY"/>
    <x v="10"/>
    <x v="1"/>
    <x v="2"/>
    <x v="31"/>
    <n v="13"/>
    <n v="20.04"/>
    <n v="260.52"/>
    <x v="10"/>
  </r>
  <r>
    <s v="MAY"/>
    <x v="10"/>
    <x v="1"/>
    <x v="2"/>
    <x v="32"/>
    <n v="1"/>
    <n v="40.71"/>
    <n v="40.71"/>
    <x v="10"/>
  </r>
  <r>
    <s v="JUNE"/>
    <x v="11"/>
    <x v="1"/>
    <x v="0"/>
    <x v="24"/>
    <n v="55"/>
    <n v="76.89"/>
    <n v="4228.95"/>
    <x v="1"/>
  </r>
  <r>
    <s v="JUNE"/>
    <x v="11"/>
    <x v="1"/>
    <x v="0"/>
    <x v="1"/>
    <n v="4"/>
    <n v="114.33"/>
    <n v="457.32"/>
    <x v="1"/>
  </r>
  <r>
    <s v="JUNE"/>
    <x v="11"/>
    <x v="1"/>
    <x v="0"/>
    <x v="38"/>
    <n v="5"/>
    <n v="358"/>
    <n v="1790"/>
    <x v="1"/>
  </r>
  <r>
    <s v="JUNE"/>
    <x v="11"/>
    <x v="1"/>
    <x v="0"/>
    <x v="3"/>
    <n v="2"/>
    <n v="85.75"/>
    <n v="171.5"/>
    <x v="1"/>
  </r>
  <r>
    <s v="JUNE"/>
    <x v="11"/>
    <x v="1"/>
    <x v="0"/>
    <x v="64"/>
    <n v="3"/>
    <n v="95.66"/>
    <n v="286.98"/>
    <x v="1"/>
  </r>
  <r>
    <s v="JUNE"/>
    <x v="11"/>
    <x v="1"/>
    <x v="0"/>
    <x v="5"/>
    <n v="2"/>
    <n v="97.22"/>
    <n v="194.44"/>
    <x v="1"/>
  </r>
  <r>
    <s v="JUNE"/>
    <x v="11"/>
    <x v="1"/>
    <x v="0"/>
    <x v="6"/>
    <n v="17"/>
    <n v="85"/>
    <n v="1445"/>
    <x v="1"/>
  </r>
  <r>
    <s v="JUNE"/>
    <x v="11"/>
    <x v="1"/>
    <x v="0"/>
    <x v="0"/>
    <n v="11"/>
    <n v="72.31"/>
    <n v="795.41000000000008"/>
    <x v="0"/>
  </r>
  <r>
    <s v="JUNE"/>
    <x v="11"/>
    <x v="1"/>
    <x v="0"/>
    <x v="35"/>
    <n v="5"/>
    <n v="30.18"/>
    <n v="150.9"/>
    <x v="7"/>
  </r>
  <r>
    <s v="JUNE"/>
    <x v="11"/>
    <x v="1"/>
    <x v="2"/>
    <x v="6"/>
    <n v="1"/>
    <n v="85"/>
    <n v="85"/>
    <x v="10"/>
  </r>
  <r>
    <s v="JUNE"/>
    <x v="11"/>
    <x v="1"/>
    <x v="2"/>
    <x v="27"/>
    <n v="1"/>
    <n v="108.39"/>
    <n v="108.39"/>
    <x v="10"/>
  </r>
  <r>
    <s v="JUNE"/>
    <x v="11"/>
    <x v="1"/>
    <x v="1"/>
    <x v="14"/>
    <n v="7"/>
    <n v="49.25"/>
    <n v="344.75"/>
    <x v="1"/>
  </r>
  <r>
    <s v="JUNE"/>
    <x v="11"/>
    <x v="1"/>
    <x v="1"/>
    <x v="7"/>
    <n v="2"/>
    <n v="32.32"/>
    <n v="64.64"/>
    <x v="1"/>
  </r>
  <r>
    <s v="JUNE"/>
    <x v="11"/>
    <x v="1"/>
    <x v="1"/>
    <x v="11"/>
    <n v="1"/>
    <n v="34.83"/>
    <n v="34.83"/>
    <x v="1"/>
  </r>
  <r>
    <s v="JUNE"/>
    <x v="11"/>
    <x v="1"/>
    <x v="1"/>
    <x v="14"/>
    <n v="4"/>
    <n v="49.25"/>
    <n v="197"/>
    <x v="4"/>
  </r>
  <r>
    <s v="JUNE"/>
    <x v="11"/>
    <x v="1"/>
    <x v="1"/>
    <x v="9"/>
    <n v="3"/>
    <n v="23.91"/>
    <n v="71.73"/>
    <x v="4"/>
  </r>
  <r>
    <s v="JUNE"/>
    <x v="11"/>
    <x v="1"/>
    <x v="1"/>
    <x v="36"/>
    <n v="1"/>
    <n v="26.1"/>
    <n v="26.1"/>
    <x v="4"/>
  </r>
  <r>
    <s v="JUNE"/>
    <x v="11"/>
    <x v="1"/>
    <x v="1"/>
    <x v="10"/>
    <n v="7"/>
    <n v="27.14"/>
    <n v="189.98000000000002"/>
    <x v="4"/>
  </r>
  <r>
    <s v="JUNE"/>
    <x v="11"/>
    <x v="1"/>
    <x v="1"/>
    <x v="11"/>
    <n v="1"/>
    <n v="34.83"/>
    <n v="34.83"/>
    <x v="4"/>
  </r>
  <r>
    <s v="JUNE"/>
    <x v="11"/>
    <x v="1"/>
    <x v="1"/>
    <x v="12"/>
    <n v="8"/>
    <n v="38.270000000000003"/>
    <n v="306.16000000000003"/>
    <x v="4"/>
  </r>
  <r>
    <s v="JUNE"/>
    <x v="11"/>
    <x v="1"/>
    <x v="1"/>
    <x v="16"/>
    <n v="8"/>
    <n v="44.78"/>
    <n v="358.24"/>
    <x v="4"/>
  </r>
  <r>
    <s v="JUNE"/>
    <x v="11"/>
    <x v="1"/>
    <x v="1"/>
    <x v="47"/>
    <n v="1"/>
    <n v="38.94"/>
    <n v="38.94"/>
    <x v="4"/>
  </r>
  <r>
    <s v="JUNE"/>
    <x v="11"/>
    <x v="1"/>
    <x v="2"/>
    <x v="65"/>
    <n v="4"/>
    <n v="5.99"/>
    <n v="23.96"/>
    <x v="6"/>
  </r>
  <r>
    <s v="JUNE"/>
    <x v="11"/>
    <x v="1"/>
    <x v="2"/>
    <x v="56"/>
    <n v="105"/>
    <n v="19.55"/>
    <n v="2052.75"/>
    <x v="7"/>
  </r>
  <r>
    <s v="JUNE"/>
    <x v="11"/>
    <x v="1"/>
    <x v="2"/>
    <x v="18"/>
    <n v="53"/>
    <n v="11.59"/>
    <n v="614.27"/>
    <x v="7"/>
  </r>
  <r>
    <s v="JUNE"/>
    <x v="11"/>
    <x v="1"/>
    <x v="2"/>
    <x v="19"/>
    <n v="1"/>
    <n v="20.72"/>
    <n v="20.72"/>
    <x v="10"/>
  </r>
  <r>
    <s v="JUNE"/>
    <x v="11"/>
    <x v="1"/>
    <x v="2"/>
    <x v="31"/>
    <n v="1"/>
    <n v="20.04"/>
    <n v="20.04"/>
    <x v="10"/>
  </r>
  <r>
    <m/>
    <x v="12"/>
    <x v="2"/>
    <x v="3"/>
    <x v="66"/>
    <m/>
    <m/>
    <m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x v="0"/>
    <s v="Hammer"/>
    <x v="0"/>
    <n v="4"/>
    <n v="72.31"/>
    <n v="289.24"/>
    <x v="0"/>
  </r>
  <r>
    <x v="0"/>
    <s v="Hammer"/>
    <x v="1"/>
    <n v="13"/>
    <n v="114.33"/>
    <n v="1486.29"/>
    <x v="1"/>
  </r>
  <r>
    <x v="0"/>
    <s v="Hammer"/>
    <x v="2"/>
    <n v="5"/>
    <n v="358.99"/>
    <n v="1794.95"/>
    <x v="2"/>
  </r>
  <r>
    <x v="0"/>
    <s v="Hammer"/>
    <x v="3"/>
    <n v="2"/>
    <n v="85.75"/>
    <n v="171.5"/>
    <x v="0"/>
  </r>
  <r>
    <x v="0"/>
    <s v="Hammer"/>
    <x v="4"/>
    <n v="6"/>
    <n v="77.69"/>
    <n v="466.14"/>
    <x v="3"/>
  </r>
  <r>
    <x v="0"/>
    <s v="Hammer"/>
    <x v="5"/>
    <n v="3"/>
    <n v="97.22"/>
    <n v="291.65999999999997"/>
    <x v="3"/>
  </r>
  <r>
    <x v="0"/>
    <s v="Hammer"/>
    <x v="6"/>
    <n v="10"/>
    <n v="85"/>
    <n v="850"/>
    <x v="3"/>
  </r>
  <r>
    <x v="0"/>
    <s v="Iron Tools"/>
    <x v="7"/>
    <n v="3"/>
    <n v="32.32"/>
    <n v="96.960000000000008"/>
    <x v="4"/>
  </r>
  <r>
    <x v="0"/>
    <s v="Iron Tools"/>
    <x v="8"/>
    <n v="3"/>
    <n v="16.079999999999998"/>
    <n v="48.239999999999995"/>
    <x v="4"/>
  </r>
  <r>
    <x v="0"/>
    <s v="Iron Tools"/>
    <x v="9"/>
    <n v="2"/>
    <n v="23.91"/>
    <n v="47.82"/>
    <x v="4"/>
  </r>
  <r>
    <x v="0"/>
    <s v="Iron Tools"/>
    <x v="10"/>
    <n v="2"/>
    <n v="27.14"/>
    <n v="54.28"/>
    <x v="4"/>
  </r>
  <r>
    <x v="0"/>
    <s v="Iron Tools"/>
    <x v="11"/>
    <n v="7"/>
    <n v="34.83"/>
    <n v="243.81"/>
    <x v="4"/>
  </r>
  <r>
    <x v="0"/>
    <s v="Iron Tools"/>
    <x v="12"/>
    <n v="4"/>
    <n v="38.270000000000003"/>
    <n v="153.08000000000001"/>
    <x v="4"/>
  </r>
  <r>
    <x v="0"/>
    <s v="Iron Tools"/>
    <x v="13"/>
    <n v="2"/>
    <n v="64.459999999999994"/>
    <n v="128.91999999999999"/>
    <x v="4"/>
  </r>
  <r>
    <x v="0"/>
    <s v="Iron Tools"/>
    <x v="14"/>
    <n v="10"/>
    <n v="49.25"/>
    <n v="492.5"/>
    <x v="1"/>
  </r>
  <r>
    <x v="0"/>
    <s v="Iron Tools"/>
    <x v="15"/>
    <n v="3"/>
    <n v="188.56"/>
    <n v="565.68000000000006"/>
    <x v="1"/>
  </r>
  <r>
    <x v="0"/>
    <s v="Iron Tools"/>
    <x v="9"/>
    <n v="3"/>
    <n v="23.91"/>
    <n v="71.73"/>
    <x v="5"/>
  </r>
  <r>
    <x v="0"/>
    <s v="Iron Tools"/>
    <x v="16"/>
    <n v="4"/>
    <n v="44.78"/>
    <n v="179.12"/>
    <x v="5"/>
  </r>
  <r>
    <x v="0"/>
    <s v="Handles"/>
    <x v="17"/>
    <n v="19"/>
    <n v="13.99"/>
    <n v="265.81"/>
    <x v="2"/>
  </r>
  <r>
    <x v="0"/>
    <s v="Handles"/>
    <x v="18"/>
    <n v="21"/>
    <n v="11.59"/>
    <n v="243.39"/>
    <x v="6"/>
  </r>
  <r>
    <x v="0"/>
    <s v="Handles"/>
    <x v="19"/>
    <n v="10"/>
    <n v="20.72"/>
    <n v="207.2"/>
    <x v="7"/>
  </r>
  <r>
    <x v="0"/>
    <s v="Handles"/>
    <x v="20"/>
    <n v="2"/>
    <n v="23.07"/>
    <n v="46.14"/>
    <x v="7"/>
  </r>
  <r>
    <x v="0"/>
    <s v="Handles"/>
    <x v="21"/>
    <n v="5"/>
    <n v="21.61"/>
    <n v="108.05"/>
    <x v="2"/>
  </r>
  <r>
    <x v="0"/>
    <s v="Handles"/>
    <x v="22"/>
    <n v="1"/>
    <n v="22.61"/>
    <n v="22.61"/>
    <x v="2"/>
  </r>
  <r>
    <x v="0"/>
    <s v="Handles"/>
    <x v="23"/>
    <n v="1"/>
    <n v="19.97"/>
    <n v="19.97"/>
    <x v="2"/>
  </r>
  <r>
    <x v="0"/>
    <s v="Hammer"/>
    <x v="0"/>
    <n v="2"/>
    <n v="72.31"/>
    <n v="144.62"/>
    <x v="8"/>
  </r>
  <r>
    <x v="0"/>
    <s v="Hammer"/>
    <x v="1"/>
    <n v="1"/>
    <n v="114.33"/>
    <n v="114.33"/>
    <x v="8"/>
  </r>
  <r>
    <x v="0"/>
    <s v="Hammer"/>
    <x v="6"/>
    <n v="2"/>
    <n v="85"/>
    <n v="170"/>
    <x v="8"/>
  </r>
  <r>
    <x v="0"/>
    <s v="Hammer"/>
    <x v="24"/>
    <n v="1"/>
    <n v="76.89"/>
    <n v="76.89"/>
    <x v="1"/>
  </r>
  <r>
    <x v="0"/>
    <s v="Hammer"/>
    <x v="0"/>
    <n v="6"/>
    <n v="72.31"/>
    <n v="433.86"/>
    <x v="1"/>
  </r>
  <r>
    <x v="0"/>
    <s v="Hammer"/>
    <x v="1"/>
    <n v="20"/>
    <n v="114.33"/>
    <n v="2286.6"/>
    <x v="1"/>
  </r>
  <r>
    <x v="0"/>
    <s v="Hammer"/>
    <x v="25"/>
    <n v="2"/>
    <n v="89.05"/>
    <n v="178.1"/>
    <x v="1"/>
  </r>
  <r>
    <x v="0"/>
    <s v="Hammer"/>
    <x v="3"/>
    <n v="13"/>
    <n v="85.75"/>
    <n v="1114.75"/>
    <x v="1"/>
  </r>
  <r>
    <x v="0"/>
    <s v="Hammer"/>
    <x v="0"/>
    <n v="2"/>
    <n v="72.31"/>
    <n v="144.62"/>
    <x v="0"/>
  </r>
  <r>
    <x v="0"/>
    <s v="Hammer"/>
    <x v="26"/>
    <n v="2"/>
    <n v="79.94"/>
    <n v="159.88"/>
    <x v="0"/>
  </r>
  <r>
    <x v="0"/>
    <s v="Hammer"/>
    <x v="27"/>
    <n v="2"/>
    <n v="108.39"/>
    <n v="216.78"/>
    <x v="4"/>
  </r>
  <r>
    <x v="0"/>
    <s v="Iron Tools"/>
    <x v="14"/>
    <n v="14"/>
    <n v="49.25"/>
    <n v="689.5"/>
    <x v="4"/>
  </r>
  <r>
    <x v="0"/>
    <s v="Iron Tools"/>
    <x v="7"/>
    <n v="8"/>
    <n v="32.32"/>
    <n v="258.56"/>
    <x v="4"/>
  </r>
  <r>
    <x v="0"/>
    <s v="Iron Tools"/>
    <x v="9"/>
    <n v="2"/>
    <n v="23.91"/>
    <n v="47.82"/>
    <x v="4"/>
  </r>
  <r>
    <x v="0"/>
    <s v="Iron Tools"/>
    <x v="10"/>
    <n v="1"/>
    <n v="27.14"/>
    <n v="27.14"/>
    <x v="4"/>
  </r>
  <r>
    <x v="0"/>
    <s v="Iron Tools"/>
    <x v="12"/>
    <n v="4"/>
    <n v="38.270000000000003"/>
    <n v="153.08000000000001"/>
    <x v="4"/>
  </r>
  <r>
    <x v="0"/>
    <s v="Iron Tools"/>
    <x v="16"/>
    <n v="1"/>
    <n v="44.78"/>
    <n v="44.78"/>
    <x v="4"/>
  </r>
  <r>
    <x v="0"/>
    <s v="Iron Tools"/>
    <x v="28"/>
    <n v="15"/>
    <n v="53.57"/>
    <n v="803.55"/>
    <x v="4"/>
  </r>
  <r>
    <x v="0"/>
    <s v="Iron Tools"/>
    <x v="14"/>
    <n v="2"/>
    <n v="49.25"/>
    <n v="98.5"/>
    <x v="1"/>
  </r>
  <r>
    <x v="0"/>
    <s v="Iron Tools"/>
    <x v="16"/>
    <n v="3"/>
    <n v="44.78"/>
    <n v="134.34"/>
    <x v="9"/>
  </r>
  <r>
    <x v="0"/>
    <s v="Handles"/>
    <x v="29"/>
    <n v="1"/>
    <n v="15.38"/>
    <n v="15.38"/>
    <x v="7"/>
  </r>
  <r>
    <x v="0"/>
    <s v="Handles"/>
    <x v="30"/>
    <n v="18"/>
    <n v="52.3"/>
    <n v="941.4"/>
    <x v="7"/>
  </r>
  <r>
    <x v="0"/>
    <s v="Handles"/>
    <x v="31"/>
    <n v="1"/>
    <n v="20.04"/>
    <n v="20.04"/>
    <x v="7"/>
  </r>
  <r>
    <x v="0"/>
    <s v="Handles"/>
    <x v="18"/>
    <n v="26"/>
    <n v="11.59"/>
    <n v="301.33999999999997"/>
    <x v="6"/>
  </r>
  <r>
    <x v="0"/>
    <s v="Handles"/>
    <x v="29"/>
    <n v="8"/>
    <n v="15.38"/>
    <n v="123.04"/>
    <x v="10"/>
  </r>
  <r>
    <x v="0"/>
    <s v="Handles"/>
    <x v="31"/>
    <n v="1"/>
    <n v="20.04"/>
    <n v="20.04"/>
    <x v="10"/>
  </r>
  <r>
    <x v="0"/>
    <s v="Handles"/>
    <x v="32"/>
    <n v="9"/>
    <n v="40.71"/>
    <n v="366.39"/>
    <x v="10"/>
  </r>
  <r>
    <x v="0"/>
    <s v="Iron Tools"/>
    <x v="33"/>
    <n v="3"/>
    <n v="46.91"/>
    <n v="140.72999999999999"/>
    <x v="1"/>
  </r>
  <r>
    <x v="0"/>
    <s v="Hammer"/>
    <x v="1"/>
    <n v="7"/>
    <n v="114.33"/>
    <n v="800.31"/>
    <x v="1"/>
  </r>
  <r>
    <x v="0"/>
    <s v="Hammer"/>
    <x v="34"/>
    <n v="4"/>
    <n v="142.27000000000001"/>
    <n v="569.08000000000004"/>
    <x v="1"/>
  </r>
  <r>
    <x v="0"/>
    <s v="Hammer"/>
    <x v="3"/>
    <n v="14"/>
    <n v="85.75"/>
    <n v="1200.5"/>
    <x v="0"/>
  </r>
  <r>
    <x v="0"/>
    <s v="Hammer"/>
    <x v="6"/>
    <n v="4"/>
    <n v="85"/>
    <n v="340"/>
    <x v="3"/>
  </r>
  <r>
    <x v="0"/>
    <s v="Hammer"/>
    <x v="35"/>
    <n v="8"/>
    <n v="30.18"/>
    <n v="692.16"/>
    <x v="7"/>
  </r>
  <r>
    <x v="0"/>
    <s v="Iron Tools"/>
    <x v="14"/>
    <n v="9"/>
    <n v="49.25"/>
    <n v="443.25"/>
    <x v="1"/>
  </r>
  <r>
    <x v="0"/>
    <s v="Iron Tools"/>
    <x v="16"/>
    <n v="7"/>
    <n v="44.78"/>
    <n v="313.46000000000004"/>
    <x v="1"/>
  </r>
  <r>
    <x v="0"/>
    <s v="Iron Tools"/>
    <x v="36"/>
    <n v="3"/>
    <n v="26.1"/>
    <n v="78.300000000000011"/>
    <x v="4"/>
  </r>
  <r>
    <x v="0"/>
    <s v="Iron Tools"/>
    <x v="10"/>
    <n v="7"/>
    <n v="27.14"/>
    <n v="189.98000000000002"/>
    <x v="4"/>
  </r>
  <r>
    <x v="0"/>
    <s v="Handles"/>
    <x v="37"/>
    <n v="3"/>
    <n v="7.62"/>
    <n v="22.86"/>
    <x v="6"/>
  </r>
  <r>
    <x v="0"/>
    <s v="Handles"/>
    <x v="18"/>
    <n v="10"/>
    <n v="11.59"/>
    <n v="115.9"/>
    <x v="6"/>
  </r>
  <r>
    <x v="0"/>
    <s v="Hammer"/>
    <x v="0"/>
    <n v="14"/>
    <n v="72.31"/>
    <n v="1012.34"/>
    <x v="1"/>
  </r>
  <r>
    <x v="0"/>
    <s v="Hammer"/>
    <x v="1"/>
    <n v="13"/>
    <n v="114.33"/>
    <n v="1486.29"/>
    <x v="1"/>
  </r>
  <r>
    <x v="0"/>
    <s v="Handles"/>
    <x v="38"/>
    <n v="1"/>
    <n v="358"/>
    <n v="358"/>
    <x v="1"/>
  </r>
  <r>
    <x v="0"/>
    <s v="Hammer"/>
    <x v="39"/>
    <n v="1"/>
    <n v="115.36"/>
    <n v="115.36"/>
    <x v="1"/>
  </r>
  <r>
    <x v="0"/>
    <s v="Hammer"/>
    <x v="5"/>
    <n v="2"/>
    <n v="97.22"/>
    <n v="194.44"/>
    <x v="1"/>
  </r>
  <r>
    <x v="0"/>
    <s v="Hammer"/>
    <x v="6"/>
    <n v="6"/>
    <n v="85"/>
    <n v="510"/>
    <x v="1"/>
  </r>
  <r>
    <x v="0"/>
    <s v="Hammer"/>
    <x v="40"/>
    <n v="4"/>
    <n v="126.16"/>
    <n v="504.64"/>
    <x v="1"/>
  </r>
  <r>
    <x v="0"/>
    <s v="Hammer"/>
    <x v="27"/>
    <n v="18"/>
    <n v="108.39"/>
    <n v="1951.02"/>
    <x v="1"/>
  </r>
  <r>
    <x v="0"/>
    <s v="Hammer"/>
    <x v="3"/>
    <n v="28"/>
    <n v="85.75"/>
    <n v="2401"/>
    <x v="0"/>
  </r>
  <r>
    <x v="0"/>
    <s v="Hammer"/>
    <x v="0"/>
    <n v="4"/>
    <n v="72.31"/>
    <n v="289.24"/>
    <x v="8"/>
  </r>
  <r>
    <x v="0"/>
    <s v="Iron Tools"/>
    <x v="14"/>
    <n v="8"/>
    <n v="49.25"/>
    <n v="394"/>
    <x v="4"/>
  </r>
  <r>
    <x v="0"/>
    <s v="Iron Tools"/>
    <x v="7"/>
    <n v="10"/>
    <n v="32.32"/>
    <n v="323.2"/>
    <x v="4"/>
  </r>
  <r>
    <x v="0"/>
    <s v="Iron Tools"/>
    <x v="10"/>
    <n v="1"/>
    <n v="27.14"/>
    <n v="27.14"/>
    <x v="4"/>
  </r>
  <r>
    <x v="0"/>
    <s v="Iron Tools"/>
    <x v="12"/>
    <n v="43"/>
    <n v="38.270000000000003"/>
    <n v="1645.6100000000001"/>
    <x v="4"/>
  </r>
  <r>
    <x v="0"/>
    <s v="Iron Tools"/>
    <x v="16"/>
    <n v="3"/>
    <n v="44.78"/>
    <n v="134.34"/>
    <x v="4"/>
  </r>
  <r>
    <x v="0"/>
    <s v="Iron Tools"/>
    <x v="41"/>
    <n v="1"/>
    <n v="73.53"/>
    <n v="73.53"/>
    <x v="4"/>
  </r>
  <r>
    <x v="0"/>
    <s v="Iron Tools"/>
    <x v="10"/>
    <n v="3"/>
    <n v="27.14"/>
    <n v="81.42"/>
    <x v="1"/>
  </r>
  <r>
    <x v="0"/>
    <s v="Iron Tools"/>
    <x v="28"/>
    <n v="1"/>
    <n v="53.57"/>
    <n v="53.57"/>
    <x v="1"/>
  </r>
  <r>
    <x v="0"/>
    <s v="Handles"/>
    <x v="42"/>
    <n v="3"/>
    <n v="11.39"/>
    <n v="34.17"/>
    <x v="6"/>
  </r>
  <r>
    <x v="0"/>
    <s v="Handles"/>
    <x v="18"/>
    <n v="43"/>
    <n v="11.59"/>
    <n v="498.37"/>
    <x v="6"/>
  </r>
  <r>
    <x v="0"/>
    <s v="Hammer"/>
    <x v="0"/>
    <n v="7"/>
    <n v="72.31"/>
    <n v="506.17"/>
    <x v="1"/>
  </r>
  <r>
    <x v="0"/>
    <s v="Hammer"/>
    <x v="0"/>
    <n v="6"/>
    <n v="72.31"/>
    <n v="433.86"/>
    <x v="0"/>
  </r>
  <r>
    <x v="0"/>
    <s v="Hammer"/>
    <x v="0"/>
    <n v="1"/>
    <n v="72.31"/>
    <n v="72.31"/>
    <x v="0"/>
  </r>
  <r>
    <x v="0"/>
    <s v="Handles"/>
    <x v="0"/>
    <n v="2"/>
    <n v="72.31"/>
    <n v="144.62"/>
    <x v="10"/>
  </r>
  <r>
    <x v="0"/>
    <s v="Hammer"/>
    <x v="1"/>
    <n v="6"/>
    <n v="114.33"/>
    <n v="685.98"/>
    <x v="1"/>
  </r>
  <r>
    <x v="0"/>
    <s v="Hammer"/>
    <x v="43"/>
    <n v="1"/>
    <n v="94.25"/>
    <n v="94.25"/>
    <x v="1"/>
  </r>
  <r>
    <x v="0"/>
    <s v="Hammer"/>
    <x v="3"/>
    <n v="16"/>
    <n v="85.75"/>
    <n v="1372"/>
    <x v="1"/>
  </r>
  <r>
    <x v="0"/>
    <s v="Hammer"/>
    <x v="6"/>
    <n v="2"/>
    <n v="85"/>
    <n v="170"/>
    <x v="1"/>
  </r>
  <r>
    <x v="0"/>
    <s v="Hammer"/>
    <x v="40"/>
    <n v="3"/>
    <n v="126.16"/>
    <n v="378.48"/>
    <x v="1"/>
  </r>
  <r>
    <x v="0"/>
    <s v="Hammer"/>
    <x v="44"/>
    <n v="3"/>
    <n v="181.83"/>
    <n v="545.49"/>
    <x v="1"/>
  </r>
  <r>
    <x v="0"/>
    <s v="Hammer"/>
    <x v="45"/>
    <n v="2"/>
    <n v="241.14"/>
    <n v="482.28"/>
    <x v="2"/>
  </r>
  <r>
    <x v="0"/>
    <s v="Hammer"/>
    <x v="38"/>
    <n v="4"/>
    <n v="358"/>
    <n v="1432"/>
    <x v="2"/>
  </r>
  <r>
    <x v="0"/>
    <s v="Hammer"/>
    <x v="3"/>
    <n v="1"/>
    <n v="85.75"/>
    <n v="85.75"/>
    <x v="0"/>
  </r>
  <r>
    <x v="0"/>
    <s v="Hammer"/>
    <x v="46"/>
    <n v="1"/>
    <n v="48.76"/>
    <n v="48.76"/>
    <x v="8"/>
  </r>
  <r>
    <x v="0"/>
    <s v="Handles"/>
    <x v="45"/>
    <n v="6"/>
    <n v="241.14"/>
    <n v="1446.84"/>
    <x v="10"/>
  </r>
  <r>
    <x v="0"/>
    <s v="Handles"/>
    <x v="38"/>
    <n v="1"/>
    <n v="358"/>
    <n v="358"/>
    <x v="10"/>
  </r>
  <r>
    <x v="0"/>
    <s v="Handles"/>
    <x v="43"/>
    <n v="2"/>
    <n v="94.25"/>
    <n v="188.5"/>
    <x v="10"/>
  </r>
  <r>
    <x v="0"/>
    <s v="Handles"/>
    <x v="6"/>
    <n v="7"/>
    <n v="85"/>
    <n v="595"/>
    <x v="10"/>
  </r>
  <r>
    <x v="0"/>
    <s v="Handles"/>
    <x v="40"/>
    <n v="6"/>
    <n v="126.16"/>
    <n v="756.96"/>
    <x v="10"/>
  </r>
  <r>
    <x v="0"/>
    <s v="Handles"/>
    <x v="44"/>
    <n v="3"/>
    <n v="181.83"/>
    <n v="545.49"/>
    <x v="10"/>
  </r>
  <r>
    <x v="0"/>
    <s v="Iron Tools"/>
    <x v="14"/>
    <n v="8"/>
    <n v="49.25"/>
    <n v="394"/>
    <x v="4"/>
  </r>
  <r>
    <x v="0"/>
    <s v="Iron Tools"/>
    <x v="7"/>
    <n v="5"/>
    <n v="32.32"/>
    <n v="161.6"/>
    <x v="4"/>
  </r>
  <r>
    <x v="0"/>
    <s v="Iron Tools"/>
    <x v="9"/>
    <n v="3"/>
    <n v="23.91"/>
    <n v="71.73"/>
    <x v="4"/>
  </r>
  <r>
    <x v="0"/>
    <s v="Iron Tools"/>
    <x v="10"/>
    <n v="6"/>
    <n v="27.14"/>
    <n v="162.84"/>
    <x v="4"/>
  </r>
  <r>
    <x v="0"/>
    <s v="Iron Tools"/>
    <x v="11"/>
    <n v="7"/>
    <n v="34.83"/>
    <n v="243.81"/>
    <x v="4"/>
  </r>
  <r>
    <x v="0"/>
    <s v="Iron Tools"/>
    <x v="12"/>
    <n v="5"/>
    <n v="38.270000000000003"/>
    <n v="191.35000000000002"/>
    <x v="4"/>
  </r>
  <r>
    <x v="0"/>
    <s v="Iron Tools"/>
    <x v="16"/>
    <n v="2"/>
    <n v="44.78"/>
    <n v="89.56"/>
    <x v="4"/>
  </r>
  <r>
    <x v="0"/>
    <s v="Iron Tools"/>
    <x v="47"/>
    <n v="2"/>
    <n v="38.94"/>
    <n v="77.88"/>
    <x v="4"/>
  </r>
  <r>
    <x v="0"/>
    <s v="Iron Tools"/>
    <x v="48"/>
    <n v="4"/>
    <n v="50.64"/>
    <n v="202.56"/>
    <x v="4"/>
  </r>
  <r>
    <x v="0"/>
    <s v="Iron Tools"/>
    <x v="13"/>
    <n v="1"/>
    <n v="64.459999999999994"/>
    <n v="64.459999999999994"/>
    <x v="4"/>
  </r>
  <r>
    <x v="0"/>
    <s v="Iron Tools"/>
    <x v="9"/>
    <n v="1"/>
    <n v="23.91"/>
    <n v="23.91"/>
    <x v="1"/>
  </r>
  <r>
    <x v="0"/>
    <s v="Iron Tools"/>
    <x v="16"/>
    <n v="4"/>
    <n v="44.78"/>
    <n v="179.12"/>
    <x v="1"/>
  </r>
  <r>
    <x v="0"/>
    <s v="Handles"/>
    <x v="29"/>
    <n v="1"/>
    <n v="15.38"/>
    <n v="15.38"/>
    <x v="6"/>
  </r>
  <r>
    <x v="0"/>
    <s v="Handles"/>
    <x v="18"/>
    <n v="2"/>
    <n v="11.59"/>
    <n v="23.18"/>
    <x v="6"/>
  </r>
  <r>
    <x v="0"/>
    <s v="Handles"/>
    <x v="32"/>
    <n v="1"/>
    <n v="40.71"/>
    <n v="40.71"/>
    <x v="10"/>
  </r>
  <r>
    <x v="0"/>
    <s v="Hammer"/>
    <x v="0"/>
    <n v="6"/>
    <n v="72.31"/>
    <n v="433.86"/>
    <x v="1"/>
  </r>
  <r>
    <x v="0"/>
    <s v="Hammer"/>
    <x v="1"/>
    <n v="5"/>
    <n v="114.33"/>
    <n v="571.65"/>
    <x v="1"/>
  </r>
  <r>
    <x v="0"/>
    <s v="Hammer"/>
    <x v="6"/>
    <n v="1"/>
    <n v="85"/>
    <n v="85"/>
    <x v="1"/>
  </r>
  <r>
    <x v="0"/>
    <s v="Hammer"/>
    <x v="40"/>
    <n v="5"/>
    <n v="126.16"/>
    <n v="630.79999999999995"/>
    <x v="1"/>
  </r>
  <r>
    <x v="0"/>
    <s v="Hammer"/>
    <x v="35"/>
    <n v="14"/>
    <n v="30.18"/>
    <n v="422.52"/>
    <x v="7"/>
  </r>
  <r>
    <x v="0"/>
    <s v="Handles"/>
    <x v="38"/>
    <n v="2"/>
    <n v="358"/>
    <n v="716"/>
    <x v="10"/>
  </r>
  <r>
    <x v="0"/>
    <s v="Handles"/>
    <x v="43"/>
    <n v="1"/>
    <n v="94.25"/>
    <n v="94.25"/>
    <x v="10"/>
  </r>
  <r>
    <x v="0"/>
    <s v="Handles"/>
    <x v="6"/>
    <n v="10"/>
    <n v="85"/>
    <n v="850"/>
    <x v="10"/>
  </r>
  <r>
    <x v="0"/>
    <s v="Handles"/>
    <x v="49"/>
    <n v="2"/>
    <n v="386.36"/>
    <n v="772.72"/>
    <x v="10"/>
  </r>
  <r>
    <x v="0"/>
    <s v="Hammer"/>
    <x v="24"/>
    <n v="2"/>
    <n v="76.89"/>
    <n v="153.78"/>
    <x v="9"/>
  </r>
  <r>
    <x v="0"/>
    <s v="Iron Tools"/>
    <x v="14"/>
    <n v="3"/>
    <n v="49.25"/>
    <n v="147.75"/>
    <x v="4"/>
  </r>
  <r>
    <x v="0"/>
    <s v="Iron Tools"/>
    <x v="7"/>
    <n v="1"/>
    <n v="32.32"/>
    <n v="32.32"/>
    <x v="4"/>
  </r>
  <r>
    <x v="0"/>
    <s v="Iron Tools"/>
    <x v="9"/>
    <n v="1"/>
    <n v="23.91"/>
    <n v="23.91"/>
    <x v="4"/>
  </r>
  <r>
    <x v="0"/>
    <s v="Iron Tools"/>
    <x v="11"/>
    <n v="5"/>
    <n v="34.83"/>
    <n v="174.14999999999998"/>
    <x v="4"/>
  </r>
  <r>
    <x v="0"/>
    <s v="Iron Tools"/>
    <x v="12"/>
    <n v="7"/>
    <n v="38.270000000000003"/>
    <n v="267.89000000000004"/>
    <x v="4"/>
  </r>
  <r>
    <x v="0"/>
    <s v="Iron Tools"/>
    <x v="16"/>
    <n v="2"/>
    <n v="44.78"/>
    <n v="89.56"/>
    <x v="4"/>
  </r>
  <r>
    <x v="0"/>
    <s v="Iron Tools"/>
    <x v="41"/>
    <n v="1"/>
    <n v="73.53"/>
    <n v="73.53"/>
    <x v="4"/>
  </r>
  <r>
    <x v="0"/>
    <s v="Handles"/>
    <x v="42"/>
    <n v="19"/>
    <n v="11.39"/>
    <n v="216.41000000000003"/>
    <x v="6"/>
  </r>
  <r>
    <x v="0"/>
    <s v="Handles"/>
    <x v="18"/>
    <n v="31"/>
    <n v="11.59"/>
    <n v="359.29"/>
    <x v="6"/>
  </r>
  <r>
    <x v="1"/>
    <s v="Hammer"/>
    <x v="24"/>
    <n v="15"/>
    <n v="76.89"/>
    <n v="1153.3499999999999"/>
    <x v="1"/>
  </r>
  <r>
    <x v="1"/>
    <s v="Hammer"/>
    <x v="0"/>
    <n v="4"/>
    <n v="72.31"/>
    <n v="289.24"/>
    <x v="1"/>
  </r>
  <r>
    <x v="1"/>
    <s v="Hammer"/>
    <x v="43"/>
    <n v="2"/>
    <n v="94.25"/>
    <n v="188.5"/>
    <x v="1"/>
  </r>
  <r>
    <x v="1"/>
    <s v="Hammer"/>
    <x v="26"/>
    <n v="4"/>
    <n v="79.94"/>
    <n v="319.76"/>
    <x v="1"/>
  </r>
  <r>
    <x v="1"/>
    <s v="Hammer"/>
    <x v="6"/>
    <n v="1"/>
    <n v="85"/>
    <n v="85"/>
    <x v="1"/>
  </r>
  <r>
    <x v="1"/>
    <s v="Hammer"/>
    <x v="3"/>
    <n v="1"/>
    <n v="85.75"/>
    <n v="85.75"/>
    <x v="4"/>
  </r>
  <r>
    <x v="1"/>
    <s v="Hammer"/>
    <x v="0"/>
    <n v="3"/>
    <n v="72.31"/>
    <n v="216.93"/>
    <x v="8"/>
  </r>
  <r>
    <x v="1"/>
    <s v="Hammer"/>
    <x v="35"/>
    <n v="6"/>
    <n v="30.18"/>
    <n v="181.07999999999998"/>
    <x v="7"/>
  </r>
  <r>
    <x v="1"/>
    <s v="Handles"/>
    <x v="45"/>
    <n v="1"/>
    <n v="241.14"/>
    <n v="241.14"/>
    <x v="10"/>
  </r>
  <r>
    <x v="1"/>
    <s v="Handles"/>
    <x v="6"/>
    <n v="6"/>
    <n v="85"/>
    <n v="510"/>
    <x v="10"/>
  </r>
  <r>
    <x v="1"/>
    <s v="Iron Tools"/>
    <x v="14"/>
    <n v="6"/>
    <n v="49.25"/>
    <n v="295.5"/>
    <x v="4"/>
  </r>
  <r>
    <x v="1"/>
    <s v="Iron Tools"/>
    <x v="7"/>
    <n v="7"/>
    <n v="32.32"/>
    <n v="226.24"/>
    <x v="4"/>
  </r>
  <r>
    <x v="1"/>
    <s v="Iron Tools"/>
    <x v="50"/>
    <n v="1"/>
    <n v="17.8"/>
    <n v="17.8"/>
    <x v="4"/>
  </r>
  <r>
    <x v="1"/>
    <s v="Iron Tools"/>
    <x v="9"/>
    <n v="2"/>
    <n v="23.91"/>
    <n v="47.82"/>
    <x v="4"/>
  </r>
  <r>
    <x v="1"/>
    <s v="Iron Tools"/>
    <x v="11"/>
    <n v="11"/>
    <n v="34.83"/>
    <n v="383.13"/>
    <x v="4"/>
  </r>
  <r>
    <x v="1"/>
    <s v="Iron Tools"/>
    <x v="12"/>
    <n v="5"/>
    <n v="38.270000000000003"/>
    <n v="191.35000000000002"/>
    <x v="4"/>
  </r>
  <r>
    <x v="1"/>
    <s v="Iron Tools"/>
    <x v="48"/>
    <n v="1"/>
    <n v="50.64"/>
    <n v="50.64"/>
    <x v="4"/>
  </r>
  <r>
    <x v="1"/>
    <s v="Handles"/>
    <x v="30"/>
    <n v="39"/>
    <n v="52.3"/>
    <n v="2039.6999999999998"/>
    <x v="7"/>
  </r>
  <r>
    <x v="1"/>
    <s v="Handles"/>
    <x v="18"/>
    <n v="7"/>
    <n v="11.59"/>
    <n v="81.13"/>
    <x v="6"/>
  </r>
  <r>
    <x v="1"/>
    <s v="Handles"/>
    <x v="51"/>
    <n v="3"/>
    <n v="36.9"/>
    <n v="110.69999999999999"/>
    <x v="6"/>
  </r>
  <r>
    <x v="1"/>
    <s v="Handles"/>
    <x v="51"/>
    <n v="1"/>
    <n v="36.9"/>
    <n v="36.9"/>
    <x v="10"/>
  </r>
  <r>
    <x v="1"/>
    <s v="Hammer"/>
    <x v="24"/>
    <n v="1"/>
    <n v="76.89"/>
    <n v="76.89"/>
    <x v="4"/>
  </r>
  <r>
    <x v="1"/>
    <s v="Hammer"/>
    <x v="0"/>
    <n v="1"/>
    <n v="72.31"/>
    <n v="72.31"/>
    <x v="4"/>
  </r>
  <r>
    <x v="1"/>
    <s v="Hammer"/>
    <x v="2"/>
    <n v="3"/>
    <n v="358.99"/>
    <n v="1076.97"/>
    <x v="2"/>
  </r>
  <r>
    <x v="1"/>
    <s v="Hammer"/>
    <x v="35"/>
    <n v="10"/>
    <n v="30.18"/>
    <n v="301.8"/>
    <x v="7"/>
  </r>
  <r>
    <x v="1"/>
    <s v="Handles"/>
    <x v="52"/>
    <n v="7"/>
    <n v="114.8"/>
    <n v="803.6"/>
    <x v="7"/>
  </r>
  <r>
    <x v="1"/>
    <s v="Handles"/>
    <x v="0"/>
    <n v="1"/>
    <n v="72.31"/>
    <n v="72.31"/>
    <x v="7"/>
  </r>
  <r>
    <x v="1"/>
    <s v="Handles"/>
    <x v="6"/>
    <n v="1"/>
    <n v="85"/>
    <n v="85"/>
    <x v="7"/>
  </r>
  <r>
    <x v="1"/>
    <s v="Handles"/>
    <x v="0"/>
    <n v="1"/>
    <n v="72.31"/>
    <n v="72.31"/>
    <x v="10"/>
  </r>
  <r>
    <x v="1"/>
    <s v="Handles"/>
    <x v="1"/>
    <n v="4"/>
    <n v="114.33"/>
    <n v="457.32"/>
    <x v="10"/>
  </r>
  <r>
    <x v="1"/>
    <s v="Handles"/>
    <x v="38"/>
    <n v="1"/>
    <n v="358"/>
    <n v="358"/>
    <x v="10"/>
  </r>
  <r>
    <x v="1"/>
    <s v="Handles"/>
    <x v="43"/>
    <n v="2"/>
    <n v="94.25"/>
    <n v="188.5"/>
    <x v="10"/>
  </r>
  <r>
    <x v="1"/>
    <s v="Handles"/>
    <x v="6"/>
    <n v="7"/>
    <n v="85"/>
    <n v="595"/>
    <x v="10"/>
  </r>
  <r>
    <x v="1"/>
    <s v="Handles"/>
    <x v="53"/>
    <n v="1"/>
    <n v="306.75"/>
    <n v="306.75"/>
    <x v="10"/>
  </r>
  <r>
    <x v="1"/>
    <s v="Iron Tools"/>
    <x v="7"/>
    <n v="14"/>
    <n v="32.32"/>
    <n v="452.48"/>
    <x v="4"/>
  </r>
  <r>
    <x v="1"/>
    <s v="Iron Tools"/>
    <x v="8"/>
    <n v="1"/>
    <n v="16.079999999999998"/>
    <n v="16.079999999999998"/>
    <x v="4"/>
  </r>
  <r>
    <x v="1"/>
    <s v="Iron Tools"/>
    <x v="12"/>
    <n v="4"/>
    <n v="38.270000000000003"/>
    <n v="153.08000000000001"/>
    <x v="4"/>
  </r>
  <r>
    <x v="1"/>
    <s v="Iron Tools"/>
    <x v="16"/>
    <n v="1"/>
    <n v="44.78"/>
    <n v="44.78"/>
    <x v="4"/>
  </r>
  <r>
    <x v="1"/>
    <s v="Iron Tools"/>
    <x v="47"/>
    <n v="1"/>
    <n v="38.94"/>
    <n v="38.94"/>
    <x v="4"/>
  </r>
  <r>
    <x v="1"/>
    <s v="Iron Tools"/>
    <x v="48"/>
    <n v="2"/>
    <n v="50.64"/>
    <n v="101.28"/>
    <x v="4"/>
  </r>
  <r>
    <x v="1"/>
    <s v="Iron Tools"/>
    <x v="28"/>
    <n v="3"/>
    <n v="53.57"/>
    <n v="160.71"/>
    <x v="4"/>
  </r>
  <r>
    <x v="1"/>
    <s v="Iron Tools"/>
    <x v="54"/>
    <n v="1"/>
    <n v="55.28"/>
    <n v="55.28"/>
    <x v="4"/>
  </r>
  <r>
    <x v="1"/>
    <s v="Iron Tools"/>
    <x v="55"/>
    <n v="1"/>
    <n v="82.69"/>
    <n v="82.69"/>
    <x v="4"/>
  </r>
  <r>
    <x v="1"/>
    <s v="Handles"/>
    <x v="18"/>
    <n v="18"/>
    <n v="11.59"/>
    <n v="208.62"/>
    <x v="6"/>
  </r>
  <r>
    <x v="1"/>
    <s v="Handles"/>
    <x v="51"/>
    <n v="2"/>
    <n v="36.9"/>
    <n v="73.8"/>
    <x v="6"/>
  </r>
  <r>
    <x v="1"/>
    <s v="Hammer"/>
    <x v="24"/>
    <n v="292"/>
    <n v="76.89"/>
    <n v="22451.88"/>
    <x v="1"/>
  </r>
  <r>
    <x v="1"/>
    <s v="Hammer"/>
    <x v="0"/>
    <n v="5"/>
    <n v="72.31"/>
    <n v="361.55"/>
    <x v="1"/>
  </r>
  <r>
    <x v="1"/>
    <s v="Hammer"/>
    <x v="1"/>
    <n v="6"/>
    <n v="114.33"/>
    <n v="685.98"/>
    <x v="1"/>
  </r>
  <r>
    <x v="1"/>
    <s v="Hammer"/>
    <x v="3"/>
    <n v="10"/>
    <n v="85.75"/>
    <n v="857.5"/>
    <x v="1"/>
  </r>
  <r>
    <x v="1"/>
    <s v="Hammer"/>
    <x v="44"/>
    <n v="1"/>
    <n v="181.83"/>
    <n v="181.83"/>
    <x v="1"/>
  </r>
  <r>
    <x v="1"/>
    <s v="Hammer"/>
    <x v="24"/>
    <n v="14"/>
    <n v="76.89"/>
    <n v="1076.46"/>
    <x v="1"/>
  </r>
  <r>
    <x v="1"/>
    <s v="Hammer"/>
    <x v="0"/>
    <n v="10"/>
    <n v="72.31"/>
    <n v="723.1"/>
    <x v="1"/>
  </r>
  <r>
    <x v="1"/>
    <s v="Hammer"/>
    <x v="1"/>
    <n v="5"/>
    <n v="114.33"/>
    <n v="571.65"/>
    <x v="1"/>
  </r>
  <r>
    <x v="1"/>
    <s v="Hammer"/>
    <x v="38"/>
    <n v="1"/>
    <n v="358"/>
    <n v="358"/>
    <x v="1"/>
  </r>
  <r>
    <x v="1"/>
    <s v="Hammer"/>
    <x v="43"/>
    <n v="1"/>
    <n v="94.25"/>
    <n v="94.25"/>
    <x v="1"/>
  </r>
  <r>
    <x v="1"/>
    <s v="Hammer"/>
    <x v="3"/>
    <n v="4"/>
    <n v="85.75"/>
    <n v="343"/>
    <x v="1"/>
  </r>
  <r>
    <x v="1"/>
    <s v="Hammer"/>
    <x v="6"/>
    <n v="4"/>
    <n v="85"/>
    <n v="340"/>
    <x v="1"/>
  </r>
  <r>
    <x v="1"/>
    <s v="Hammer"/>
    <x v="24"/>
    <n v="4"/>
    <n v="76.89"/>
    <n v="307.56"/>
    <x v="2"/>
  </r>
  <r>
    <x v="1"/>
    <s v="Hammer"/>
    <x v="0"/>
    <n v="3"/>
    <n v="72.31"/>
    <n v="216.93"/>
    <x v="2"/>
  </r>
  <r>
    <x v="1"/>
    <s v="Hammer"/>
    <x v="38"/>
    <n v="1"/>
    <n v="358"/>
    <n v="358"/>
    <x v="2"/>
  </r>
  <r>
    <x v="1"/>
    <s v="Hammer"/>
    <x v="0"/>
    <n v="6"/>
    <n v="72.31"/>
    <n v="433.86"/>
    <x v="0"/>
  </r>
  <r>
    <x v="1"/>
    <s v="Handles"/>
    <x v="1"/>
    <n v="3"/>
    <n v="114.33"/>
    <n v="342.99"/>
    <x v="10"/>
  </r>
  <r>
    <x v="1"/>
    <s v="Handles"/>
    <x v="38"/>
    <n v="4"/>
    <n v="358"/>
    <n v="1432"/>
    <x v="10"/>
  </r>
  <r>
    <x v="1"/>
    <s v="Handles"/>
    <x v="43"/>
    <n v="2"/>
    <n v="94.25"/>
    <n v="188.5"/>
    <x v="10"/>
  </r>
  <r>
    <x v="1"/>
    <s v="Handles"/>
    <x v="5"/>
    <n v="2"/>
    <n v="97.22"/>
    <n v="194.44"/>
    <x v="10"/>
  </r>
  <r>
    <x v="1"/>
    <s v="Handles"/>
    <x v="6"/>
    <n v="5"/>
    <n v="85"/>
    <n v="425"/>
    <x v="10"/>
  </r>
  <r>
    <x v="1"/>
    <s v="Handles"/>
    <x v="44"/>
    <n v="1"/>
    <n v="181.83"/>
    <n v="181.83"/>
    <x v="10"/>
  </r>
  <r>
    <x v="1"/>
    <s v="Iron Tools"/>
    <x v="14"/>
    <n v="5"/>
    <n v="49.25"/>
    <n v="246.25"/>
    <x v="4"/>
  </r>
  <r>
    <x v="1"/>
    <s v="Iron Tools"/>
    <x v="9"/>
    <n v="4"/>
    <n v="23.91"/>
    <n v="95.64"/>
    <x v="4"/>
  </r>
  <r>
    <x v="1"/>
    <s v="Iron Tools"/>
    <x v="12"/>
    <n v="7"/>
    <n v="38.270000000000003"/>
    <n v="267.89000000000004"/>
    <x v="4"/>
  </r>
  <r>
    <x v="1"/>
    <s v="Iron Tools"/>
    <x v="16"/>
    <n v="6"/>
    <n v="44.78"/>
    <n v="268.68"/>
    <x v="4"/>
  </r>
  <r>
    <x v="1"/>
    <s v="Iron Tools"/>
    <x v="47"/>
    <n v="10"/>
    <n v="38.94"/>
    <n v="389.4"/>
    <x v="4"/>
  </r>
  <r>
    <x v="1"/>
    <s v="Iron Tools"/>
    <x v="48"/>
    <n v="1"/>
    <n v="50.64"/>
    <n v="50.64"/>
    <x v="4"/>
  </r>
  <r>
    <x v="1"/>
    <s v="Iron Tools"/>
    <x v="14"/>
    <n v="2"/>
    <n v="49.25"/>
    <n v="98.5"/>
    <x v="1"/>
  </r>
  <r>
    <x v="1"/>
    <s v="Iron Tools"/>
    <x v="16"/>
    <n v="2"/>
    <n v="44.78"/>
    <n v="89.56"/>
    <x v="1"/>
  </r>
  <r>
    <x v="1"/>
    <s v="Handles"/>
    <x v="18"/>
    <n v="19"/>
    <n v="11.59"/>
    <n v="220.21"/>
    <x v="6"/>
  </r>
  <r>
    <x v="1"/>
    <s v="Handles"/>
    <x v="29"/>
    <n v="3"/>
    <n v="15.38"/>
    <n v="46.14"/>
    <x v="7"/>
  </r>
  <r>
    <x v="1"/>
    <s v="Handles"/>
    <x v="30"/>
    <n v="10"/>
    <n v="52.3"/>
    <n v="523"/>
    <x v="7"/>
  </r>
  <r>
    <x v="1"/>
    <s v="Handles"/>
    <x v="31"/>
    <n v="2"/>
    <n v="20.04"/>
    <n v="40.08"/>
    <x v="7"/>
  </r>
  <r>
    <x v="1"/>
    <s v="Hammer"/>
    <x v="24"/>
    <n v="5"/>
    <n v="76.89"/>
    <n v="384.45"/>
    <x v="1"/>
  </r>
  <r>
    <x v="1"/>
    <s v="Hammer"/>
    <x v="0"/>
    <n v="4"/>
    <n v="72.31"/>
    <n v="289.24"/>
    <x v="1"/>
  </r>
  <r>
    <x v="1"/>
    <s v="Hammer"/>
    <x v="1"/>
    <n v="3"/>
    <n v="114.33"/>
    <n v="342.99"/>
    <x v="1"/>
  </r>
  <r>
    <x v="1"/>
    <s v="Hammer"/>
    <x v="38"/>
    <n v="19"/>
    <n v="358"/>
    <n v="6802"/>
    <x v="1"/>
  </r>
  <r>
    <x v="1"/>
    <s v="Hammer"/>
    <x v="43"/>
    <n v="2"/>
    <n v="94.25"/>
    <n v="188.5"/>
    <x v="1"/>
  </r>
  <r>
    <x v="1"/>
    <s v="Hammer"/>
    <x v="3"/>
    <n v="4"/>
    <n v="85.75"/>
    <n v="343"/>
    <x v="1"/>
  </r>
  <r>
    <x v="1"/>
    <s v="Hammer"/>
    <x v="4"/>
    <n v="1"/>
    <n v="77.69"/>
    <n v="77.69"/>
    <x v="1"/>
  </r>
  <r>
    <x v="1"/>
    <s v="Hammer"/>
    <x v="39"/>
    <n v="1"/>
    <n v="115.36"/>
    <n v="115.36"/>
    <x v="1"/>
  </r>
  <r>
    <x v="1"/>
    <s v="Hammer"/>
    <x v="6"/>
    <n v="4"/>
    <n v="85"/>
    <n v="340"/>
    <x v="1"/>
  </r>
  <r>
    <x v="1"/>
    <s v="Hammer"/>
    <x v="0"/>
    <n v="2"/>
    <n v="72.31"/>
    <n v="144.62"/>
    <x v="0"/>
  </r>
  <r>
    <x v="1"/>
    <s v="Hammer"/>
    <x v="3"/>
    <n v="1"/>
    <n v="85.75"/>
    <n v="85.75"/>
    <x v="0"/>
  </r>
  <r>
    <x v="1"/>
    <s v="Hammer"/>
    <x v="45"/>
    <n v="2"/>
    <n v="241.14"/>
    <n v="482.28"/>
    <x v="8"/>
  </r>
  <r>
    <x v="1"/>
    <s v="Hammer"/>
    <x v="43"/>
    <n v="1"/>
    <n v="94.25"/>
    <n v="94.25"/>
    <x v="8"/>
  </r>
  <r>
    <x v="1"/>
    <s v="Hammer"/>
    <x v="6"/>
    <n v="1"/>
    <n v="85"/>
    <n v="85"/>
    <x v="8"/>
  </r>
  <r>
    <x v="1"/>
    <s v="Iron Tools"/>
    <x v="14"/>
    <n v="2"/>
    <n v="49.25"/>
    <n v="98.5"/>
    <x v="1"/>
  </r>
  <r>
    <x v="1"/>
    <s v="Iron Tools"/>
    <x v="9"/>
    <n v="2"/>
    <n v="23.91"/>
    <n v="47.82"/>
    <x v="1"/>
  </r>
  <r>
    <x v="1"/>
    <s v="Iron Tools"/>
    <x v="48"/>
    <n v="3"/>
    <n v="50.64"/>
    <n v="151.92000000000002"/>
    <x v="1"/>
  </r>
  <r>
    <x v="1"/>
    <s v="Iron Tools"/>
    <x v="7"/>
    <n v="4"/>
    <n v="32.32"/>
    <n v="129.28"/>
    <x v="4"/>
  </r>
  <r>
    <x v="1"/>
    <s v="Iron Tools"/>
    <x v="11"/>
    <n v="1"/>
    <n v="34.83"/>
    <n v="34.83"/>
    <x v="4"/>
  </r>
  <r>
    <x v="1"/>
    <s v="Iron Tools"/>
    <x v="12"/>
    <n v="1"/>
    <n v="38.270000000000003"/>
    <n v="38.270000000000003"/>
    <x v="4"/>
  </r>
  <r>
    <x v="1"/>
    <s v="Iron Tools"/>
    <x v="16"/>
    <n v="7"/>
    <n v="44.78"/>
    <n v="313.46000000000004"/>
    <x v="4"/>
  </r>
  <r>
    <x v="1"/>
    <s v="Iron Tools"/>
    <x v="47"/>
    <n v="7"/>
    <n v="38.94"/>
    <n v="272.58"/>
    <x v="4"/>
  </r>
  <r>
    <x v="1"/>
    <s v="Iron Tools"/>
    <x v="15"/>
    <n v="4"/>
    <n v="188.56"/>
    <n v="754.24"/>
    <x v="9"/>
  </r>
  <r>
    <x v="1"/>
    <s v="Handles"/>
    <x v="29"/>
    <n v="2"/>
    <n v="15.38"/>
    <n v="30.76"/>
    <x v="7"/>
  </r>
  <r>
    <x v="1"/>
    <s v="Handles"/>
    <x v="56"/>
    <n v="75"/>
    <n v="19.55"/>
    <n v="1466.25"/>
    <x v="7"/>
  </r>
  <r>
    <x v="1"/>
    <s v="Handles"/>
    <x v="57"/>
    <n v="1"/>
    <n v="26"/>
    <n v="26"/>
    <x v="7"/>
  </r>
  <r>
    <x v="1"/>
    <s v="Handles"/>
    <x v="58"/>
    <n v="1"/>
    <n v="19.75"/>
    <n v="19.75"/>
    <x v="7"/>
  </r>
  <r>
    <x v="1"/>
    <s v="Handles"/>
    <x v="18"/>
    <n v="1"/>
    <n v="11.59"/>
    <n v="11.59"/>
    <x v="6"/>
  </r>
  <r>
    <x v="1"/>
    <s v="Handles"/>
    <x v="32"/>
    <n v="2"/>
    <n v="40.71"/>
    <n v="81.42"/>
    <x v="6"/>
  </r>
  <r>
    <x v="1"/>
    <s v="Handles"/>
    <x v="29"/>
    <n v="1"/>
    <n v="15.38"/>
    <n v="15.38"/>
    <x v="10"/>
  </r>
  <r>
    <x v="1"/>
    <s v="Handles"/>
    <x v="59"/>
    <n v="2"/>
    <n v="19.739999999999998"/>
    <n v="39.479999999999997"/>
    <x v="10"/>
  </r>
  <r>
    <x v="1"/>
    <s v="Handles"/>
    <x v="30"/>
    <n v="1"/>
    <n v="52.3"/>
    <n v="52.3"/>
    <x v="10"/>
  </r>
  <r>
    <x v="1"/>
    <s v="Handles"/>
    <x v="60"/>
    <n v="1"/>
    <n v="6.26"/>
    <n v="6.26"/>
    <x v="10"/>
  </r>
  <r>
    <x v="1"/>
    <s v="Handles"/>
    <x v="31"/>
    <n v="7"/>
    <n v="20.04"/>
    <n v="140.28"/>
    <x v="10"/>
  </r>
  <r>
    <x v="1"/>
    <s v="Handles"/>
    <x v="58"/>
    <n v="2"/>
    <n v="19.75"/>
    <n v="39.5"/>
    <x v="10"/>
  </r>
  <r>
    <x v="1"/>
    <s v="Handles"/>
    <x v="61"/>
    <n v="1"/>
    <n v="81.11"/>
    <n v="81.11"/>
    <x v="10"/>
  </r>
  <r>
    <x v="1"/>
    <s v="Handles"/>
    <x v="57"/>
    <n v="80"/>
    <n v="26"/>
    <n v="2080"/>
    <x v="11"/>
  </r>
  <r>
    <x v="1"/>
    <s v="Hammer"/>
    <x v="35"/>
    <n v="4"/>
    <n v="30.18"/>
    <n v="120.72"/>
    <x v="7"/>
  </r>
  <r>
    <x v="1"/>
    <s v="Hammer"/>
    <x v="0"/>
    <n v="9"/>
    <n v="72.31"/>
    <n v="650.79"/>
    <x v="1"/>
  </r>
  <r>
    <x v="1"/>
    <s v="Hammer"/>
    <x v="0"/>
    <n v="6"/>
    <n v="72.31"/>
    <n v="433.86"/>
    <x v="0"/>
  </r>
  <r>
    <x v="1"/>
    <s v="Hammer"/>
    <x v="0"/>
    <n v="1"/>
    <n v="72.31"/>
    <n v="72.31"/>
    <x v="4"/>
  </r>
  <r>
    <x v="1"/>
    <s v="Hammer"/>
    <x v="3"/>
    <n v="23"/>
    <n v="85.75"/>
    <n v="1972.25"/>
    <x v="0"/>
  </r>
  <r>
    <x v="1"/>
    <s v="Hammer"/>
    <x v="4"/>
    <n v="1"/>
    <n v="77.69"/>
    <n v="77.69"/>
    <x v="1"/>
  </r>
  <r>
    <x v="1"/>
    <s v="Hammer"/>
    <x v="6"/>
    <n v="1"/>
    <n v="85"/>
    <n v="85"/>
    <x v="1"/>
  </r>
  <r>
    <x v="1"/>
    <s v="Iron Tools"/>
    <x v="7"/>
    <n v="9"/>
    <n v="32.32"/>
    <n v="290.88"/>
    <x v="4"/>
  </r>
  <r>
    <x v="1"/>
    <s v="Iron Tools"/>
    <x v="8"/>
    <n v="1"/>
    <n v="16.079999999999998"/>
    <n v="16.079999999999998"/>
    <x v="4"/>
  </r>
  <r>
    <x v="1"/>
    <s v="Iron Tools"/>
    <x v="9"/>
    <n v="4"/>
    <n v="23.91"/>
    <n v="95.64"/>
    <x v="4"/>
  </r>
  <r>
    <x v="1"/>
    <s v="Iron Tools"/>
    <x v="10"/>
    <n v="3"/>
    <n v="27.14"/>
    <n v="81.42"/>
    <x v="4"/>
  </r>
  <r>
    <x v="1"/>
    <s v="Iron Tools"/>
    <x v="16"/>
    <n v="5"/>
    <n v="44.78"/>
    <n v="223.9"/>
    <x v="4"/>
  </r>
  <r>
    <x v="1"/>
    <s v="Iron Tools"/>
    <x v="54"/>
    <n v="1"/>
    <n v="55.28"/>
    <n v="55.28"/>
    <x v="4"/>
  </r>
  <r>
    <x v="1"/>
    <s v="Iron Tools"/>
    <x v="62"/>
    <n v="28"/>
    <n v="43.37"/>
    <n v="1214.3599999999999"/>
    <x v="5"/>
  </r>
  <r>
    <x v="1"/>
    <s v="Iron Tools"/>
    <x v="28"/>
    <n v="1"/>
    <n v="53.57"/>
    <n v="53.57"/>
    <x v="1"/>
  </r>
  <r>
    <x v="1"/>
    <s v="Handles"/>
    <x v="18"/>
    <n v="22"/>
    <n v="11.59"/>
    <n v="254.98"/>
    <x v="6"/>
  </r>
  <r>
    <x v="1"/>
    <s v="Handles"/>
    <x v="59"/>
    <n v="7"/>
    <n v="19.739999999999998"/>
    <n v="138.17999999999998"/>
    <x v="7"/>
  </r>
  <r>
    <x v="1"/>
    <s v="Handles"/>
    <x v="19"/>
    <n v="7"/>
    <n v="20.72"/>
    <n v="145.04"/>
    <x v="7"/>
  </r>
  <r>
    <x v="1"/>
    <s v="Handles"/>
    <x v="20"/>
    <n v="172"/>
    <n v="23.07"/>
    <n v="3968.04"/>
    <x v="11"/>
  </r>
  <r>
    <x v="1"/>
    <s v="Handles"/>
    <x v="58"/>
    <n v="5"/>
    <n v="19.75"/>
    <n v="98.75"/>
    <x v="7"/>
  </r>
  <r>
    <x v="1"/>
    <s v="Handles"/>
    <x v="63"/>
    <n v="5"/>
    <n v="82.97"/>
    <n v="414.85"/>
    <x v="7"/>
  </r>
  <r>
    <x v="1"/>
    <s v="Handles"/>
    <x v="18"/>
    <n v="14"/>
    <n v="11.59"/>
    <n v="162.26"/>
    <x v="7"/>
  </r>
  <r>
    <x v="1"/>
    <s v="Handles"/>
    <x v="29"/>
    <n v="14"/>
    <n v="15.38"/>
    <n v="215.32000000000002"/>
    <x v="10"/>
  </r>
  <r>
    <x v="1"/>
    <s v="Handles"/>
    <x v="56"/>
    <n v="3"/>
    <n v="19.55"/>
    <n v="58.650000000000006"/>
    <x v="10"/>
  </r>
  <r>
    <x v="1"/>
    <s v="Handles"/>
    <x v="31"/>
    <n v="13"/>
    <n v="20.04"/>
    <n v="260.52"/>
    <x v="10"/>
  </r>
  <r>
    <x v="1"/>
    <s v="Handles"/>
    <x v="32"/>
    <n v="1"/>
    <n v="40.71"/>
    <n v="40.71"/>
    <x v="10"/>
  </r>
  <r>
    <x v="1"/>
    <s v="Hammer"/>
    <x v="24"/>
    <n v="55"/>
    <n v="76.89"/>
    <n v="4228.95"/>
    <x v="1"/>
  </r>
  <r>
    <x v="1"/>
    <s v="Hammer"/>
    <x v="1"/>
    <n v="4"/>
    <n v="114.33"/>
    <n v="457.32"/>
    <x v="1"/>
  </r>
  <r>
    <x v="1"/>
    <s v="Hammer"/>
    <x v="38"/>
    <n v="5"/>
    <n v="358"/>
    <n v="1790"/>
    <x v="1"/>
  </r>
  <r>
    <x v="1"/>
    <s v="Hammer"/>
    <x v="3"/>
    <n v="2"/>
    <n v="85.75"/>
    <n v="171.5"/>
    <x v="1"/>
  </r>
  <r>
    <x v="1"/>
    <s v="Hammer"/>
    <x v="64"/>
    <n v="3"/>
    <n v="95.66"/>
    <n v="286.98"/>
    <x v="1"/>
  </r>
  <r>
    <x v="1"/>
    <s v="Hammer"/>
    <x v="5"/>
    <n v="2"/>
    <n v="97.22"/>
    <n v="194.44"/>
    <x v="1"/>
  </r>
  <r>
    <x v="1"/>
    <s v="Hammer"/>
    <x v="6"/>
    <n v="17"/>
    <n v="85"/>
    <n v="1445"/>
    <x v="1"/>
  </r>
  <r>
    <x v="1"/>
    <s v="Hammer"/>
    <x v="0"/>
    <n v="11"/>
    <n v="72.31"/>
    <n v="795.41000000000008"/>
    <x v="0"/>
  </r>
  <r>
    <x v="1"/>
    <s v="Hammer"/>
    <x v="35"/>
    <n v="5"/>
    <n v="30.18"/>
    <n v="150.9"/>
    <x v="7"/>
  </r>
  <r>
    <x v="1"/>
    <s v="Handles"/>
    <x v="6"/>
    <n v="1"/>
    <n v="85"/>
    <n v="85"/>
    <x v="10"/>
  </r>
  <r>
    <x v="1"/>
    <s v="Handles"/>
    <x v="27"/>
    <n v="1"/>
    <n v="108.39"/>
    <n v="108.39"/>
    <x v="10"/>
  </r>
  <r>
    <x v="1"/>
    <s v="Iron Tools"/>
    <x v="14"/>
    <n v="7"/>
    <n v="49.25"/>
    <n v="344.75"/>
    <x v="1"/>
  </r>
  <r>
    <x v="1"/>
    <s v="Iron Tools"/>
    <x v="7"/>
    <n v="2"/>
    <n v="32.32"/>
    <n v="64.64"/>
    <x v="1"/>
  </r>
  <r>
    <x v="1"/>
    <s v="Iron Tools"/>
    <x v="11"/>
    <n v="1"/>
    <n v="34.83"/>
    <n v="34.83"/>
    <x v="1"/>
  </r>
  <r>
    <x v="1"/>
    <s v="Iron Tools"/>
    <x v="14"/>
    <n v="4"/>
    <n v="49.25"/>
    <n v="197"/>
    <x v="4"/>
  </r>
  <r>
    <x v="1"/>
    <s v="Iron Tools"/>
    <x v="9"/>
    <n v="3"/>
    <n v="23.91"/>
    <n v="71.73"/>
    <x v="4"/>
  </r>
  <r>
    <x v="1"/>
    <s v="Iron Tools"/>
    <x v="36"/>
    <n v="1"/>
    <n v="26.1"/>
    <n v="26.1"/>
    <x v="4"/>
  </r>
  <r>
    <x v="1"/>
    <s v="Iron Tools"/>
    <x v="10"/>
    <n v="7"/>
    <n v="27.14"/>
    <n v="189.98000000000002"/>
    <x v="4"/>
  </r>
  <r>
    <x v="1"/>
    <s v="Iron Tools"/>
    <x v="11"/>
    <n v="1"/>
    <n v="34.83"/>
    <n v="34.83"/>
    <x v="4"/>
  </r>
  <r>
    <x v="1"/>
    <s v="Iron Tools"/>
    <x v="12"/>
    <n v="8"/>
    <n v="38.270000000000003"/>
    <n v="306.16000000000003"/>
    <x v="4"/>
  </r>
  <r>
    <x v="1"/>
    <s v="Iron Tools"/>
    <x v="16"/>
    <n v="8"/>
    <n v="44.78"/>
    <n v="358.24"/>
    <x v="4"/>
  </r>
  <r>
    <x v="1"/>
    <s v="Iron Tools"/>
    <x v="47"/>
    <n v="1"/>
    <n v="38.94"/>
    <n v="38.94"/>
    <x v="4"/>
  </r>
  <r>
    <x v="1"/>
    <s v="Handles"/>
    <x v="65"/>
    <n v="4"/>
    <n v="5.99"/>
    <n v="23.96"/>
    <x v="6"/>
  </r>
  <r>
    <x v="1"/>
    <s v="Handles"/>
    <x v="56"/>
    <n v="105"/>
    <n v="19.55"/>
    <n v="2052.75"/>
    <x v="7"/>
  </r>
  <r>
    <x v="1"/>
    <s v="Handles"/>
    <x v="18"/>
    <n v="53"/>
    <n v="11.59"/>
    <n v="614.27"/>
    <x v="7"/>
  </r>
  <r>
    <x v="1"/>
    <s v="Handles"/>
    <x v="19"/>
    <n v="1"/>
    <n v="20.72"/>
    <n v="20.72"/>
    <x v="10"/>
  </r>
  <r>
    <x v="1"/>
    <s v="Handles"/>
    <x v="31"/>
    <n v="1"/>
    <n v="20.04"/>
    <n v="20.04"/>
    <x v="10"/>
  </r>
  <r>
    <x v="2"/>
    <m/>
    <x v="66"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51BBA-4A46-4A8C-A42B-34427C31592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5:I12" firstHeaderRow="1" firstDataRow="2" firstDataCol="1" rowPageCount="1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axis="axisPage" multipleItemSelectionAllowed="1" showAll="0">
      <items count="6">
        <item x="0"/>
        <item h="1" x="2"/>
        <item h="1" x="1"/>
        <item h="1" x="3"/>
        <item h="1" m="1" x="4"/>
        <item t="default"/>
      </items>
    </pivotField>
    <pivotField axis="axisRow" showAll="0" measureFilter="1" sortType="ascending">
      <items count="85">
        <item x="24"/>
        <item x="28"/>
        <item x="33"/>
        <item x="54"/>
        <item x="13"/>
        <item x="41"/>
        <item x="55"/>
        <item x="7"/>
        <item x="14"/>
        <item m="1" x="72"/>
        <item x="8"/>
        <item m="1" x="82"/>
        <item x="50"/>
        <item x="9"/>
        <item x="10"/>
        <item x="11"/>
        <item x="12"/>
        <item x="16"/>
        <item m="1" x="70"/>
        <item x="26"/>
        <item x="3"/>
        <item x="6"/>
        <item x="1"/>
        <item x="43"/>
        <item x="38"/>
        <item x="31"/>
        <item m="1" x="83"/>
        <item m="1" x="80"/>
        <item m="1" x="77"/>
        <item m="1" x="78"/>
        <item x="18"/>
        <item x="66"/>
        <item x="45"/>
        <item x="34"/>
        <item x="17"/>
        <item m="1" x="75"/>
        <item x="21"/>
        <item x="62"/>
        <item m="1" x="74"/>
        <item m="1" x="69"/>
        <item x="22"/>
        <item m="1" x="73"/>
        <item m="1" x="79"/>
        <item x="48"/>
        <item x="0"/>
        <item m="1" x="81"/>
        <item x="5"/>
        <item x="53"/>
        <item x="47"/>
        <item x="42"/>
        <item x="2"/>
        <item m="1" x="71"/>
        <item x="29"/>
        <item x="56"/>
        <item m="1" x="68"/>
        <item x="49"/>
        <item m="1" x="67"/>
        <item x="32"/>
        <item x="4"/>
        <item x="15"/>
        <item x="19"/>
        <item x="20"/>
        <item x="23"/>
        <item x="25"/>
        <item x="27"/>
        <item x="30"/>
        <item m="1" x="76"/>
        <item x="35"/>
        <item x="36"/>
        <item x="37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Col" showAll="0" sortType="ascending">
      <items count="27">
        <item x="1"/>
        <item m="1" x="25"/>
        <item m="1" x="17"/>
        <item m="1" x="24"/>
        <item x="9"/>
        <item x="6"/>
        <item m="1" x="13"/>
        <item x="5"/>
        <item m="1" x="14"/>
        <item m="1" x="19"/>
        <item x="0"/>
        <item x="2"/>
        <item m="1" x="20"/>
        <item x="3"/>
        <item x="11"/>
        <item m="1" x="21"/>
        <item m="1" x="15"/>
        <item x="7"/>
        <item m="1" x="23"/>
        <item m="1" x="22"/>
        <item h="1" x="10"/>
        <item h="1" x="8"/>
        <item m="1" x="16"/>
        <item m="1" x="18"/>
        <item x="4"/>
        <item x="1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21"/>
    </i>
    <i>
      <x v="22"/>
    </i>
    <i>
      <x v="44"/>
    </i>
    <i>
      <x v="20"/>
    </i>
    <i>
      <x/>
    </i>
    <i t="grand">
      <x/>
    </i>
  </rowItems>
  <colFields count="1">
    <field x="8"/>
  </colFields>
  <colItems count="8">
    <i>
      <x/>
    </i>
    <i>
      <x v="4"/>
    </i>
    <i>
      <x v="10"/>
    </i>
    <i>
      <x v="11"/>
    </i>
    <i>
      <x v="13"/>
    </i>
    <i>
      <x v="17"/>
    </i>
    <i>
      <x v="24"/>
    </i>
    <i t="grand">
      <x/>
    </i>
  </colItems>
  <pageFields count="1">
    <pageField fld="3" hier="-1"/>
  </pageFields>
  <dataFields count="1">
    <dataField name="Sum of Qty" fld="5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67"/>
          </reference>
          <reference field="8" count="1" selected="0">
            <x v="17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6B7C7-848C-40F3-B881-EE45657566F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4:F11" firstHeaderRow="1" firstDataRow="2" firstDataCol="1" rowPageCount="1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axis="axisPage" multipleItemSelectionAllowed="1" showAll="0">
      <items count="6">
        <item h="1" x="0"/>
        <item h="1" x="2"/>
        <item x="1"/>
        <item h="1" x="3"/>
        <item h="1" m="1" x="4"/>
        <item t="default"/>
      </items>
    </pivotField>
    <pivotField axis="axisRow" showAll="0" measureFilter="1" sortType="ascending">
      <items count="85">
        <item x="24"/>
        <item x="28"/>
        <item x="33"/>
        <item x="54"/>
        <item x="13"/>
        <item x="41"/>
        <item x="55"/>
        <item x="7"/>
        <item x="14"/>
        <item m="1" x="72"/>
        <item x="8"/>
        <item m="1" x="82"/>
        <item x="50"/>
        <item x="9"/>
        <item x="10"/>
        <item x="11"/>
        <item x="12"/>
        <item x="16"/>
        <item m="1" x="70"/>
        <item x="26"/>
        <item x="3"/>
        <item x="6"/>
        <item x="1"/>
        <item x="43"/>
        <item x="38"/>
        <item x="31"/>
        <item m="1" x="83"/>
        <item m="1" x="80"/>
        <item m="1" x="77"/>
        <item m="1" x="78"/>
        <item x="18"/>
        <item x="66"/>
        <item x="45"/>
        <item x="34"/>
        <item x="17"/>
        <item m="1" x="75"/>
        <item x="21"/>
        <item x="62"/>
        <item m="1" x="74"/>
        <item m="1" x="69"/>
        <item x="22"/>
        <item m="1" x="73"/>
        <item m="1" x="79"/>
        <item x="48"/>
        <item x="0"/>
        <item m="1" x="81"/>
        <item x="5"/>
        <item x="53"/>
        <item x="47"/>
        <item x="42"/>
        <item x="2"/>
        <item m="1" x="71"/>
        <item x="29"/>
        <item x="56"/>
        <item m="1" x="68"/>
        <item x="49"/>
        <item m="1" x="67"/>
        <item x="32"/>
        <item x="4"/>
        <item x="15"/>
        <item x="19"/>
        <item x="20"/>
        <item x="23"/>
        <item x="25"/>
        <item x="27"/>
        <item x="30"/>
        <item m="1" x="76"/>
        <item x="35"/>
        <item x="36"/>
        <item x="37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Col" showAll="0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5"/>
    </i>
    <i>
      <x v="17"/>
    </i>
    <i>
      <x v="7"/>
    </i>
    <i>
      <x v="8"/>
    </i>
    <i>
      <x v="16"/>
    </i>
    <i t="grand">
      <x/>
    </i>
  </rowItems>
  <colFields count="1">
    <field x="8"/>
  </colFields>
  <colItems count="5">
    <i>
      <x v="8"/>
    </i>
    <i>
      <x/>
    </i>
    <i>
      <x v="12"/>
    </i>
    <i>
      <x v="17"/>
    </i>
    <i t="grand">
      <x/>
    </i>
  </colItems>
  <pageFields count="1">
    <pageField fld="3" hier="-1"/>
  </pageFields>
  <dataFields count="1">
    <dataField name="Sum of Qty" fld="5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65D94-B5D7-4B19-86E8-B41E497CA4D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4:F11" firstHeaderRow="1" firstDataRow="2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h="1" x="0"/>
        <item x="1"/>
        <item x="2"/>
        <item t="default"/>
      </items>
    </pivotField>
    <pivotField axis="axisPage" multipleItemSelectionAllowed="1" showAll="0">
      <items count="6">
        <item h="1" x="0"/>
        <item x="2"/>
        <item h="1" x="1"/>
        <item h="1" x="3"/>
        <item h="1" m="1" x="4"/>
        <item t="default"/>
      </items>
    </pivotField>
    <pivotField axis="axisRow" showAll="0" measureFilter="1" sortType="ascending">
      <items count="85">
        <item x="24"/>
        <item x="28"/>
        <item x="33"/>
        <item x="54"/>
        <item x="13"/>
        <item x="41"/>
        <item x="55"/>
        <item x="7"/>
        <item x="14"/>
        <item m="1" x="72"/>
        <item x="8"/>
        <item m="1" x="82"/>
        <item x="50"/>
        <item x="9"/>
        <item x="10"/>
        <item x="11"/>
        <item x="12"/>
        <item x="16"/>
        <item m="1" x="70"/>
        <item x="26"/>
        <item x="3"/>
        <item x="6"/>
        <item x="1"/>
        <item x="43"/>
        <item x="38"/>
        <item x="31"/>
        <item m="1" x="83"/>
        <item m="1" x="80"/>
        <item m="1" x="77"/>
        <item m="1" x="78"/>
        <item x="18"/>
        <item x="66"/>
        <item x="45"/>
        <item x="34"/>
        <item x="17"/>
        <item m="1" x="75"/>
        <item x="21"/>
        <item x="62"/>
        <item m="1" x="74"/>
        <item m="1" x="69"/>
        <item x="22"/>
        <item m="1" x="73"/>
        <item m="1" x="79"/>
        <item x="48"/>
        <item x="0"/>
        <item m="1" x="81"/>
        <item x="5"/>
        <item x="53"/>
        <item x="47"/>
        <item x="42"/>
        <item x="2"/>
        <item m="1" x="71"/>
        <item x="29"/>
        <item x="56"/>
        <item m="1" x="68"/>
        <item x="49"/>
        <item m="1" x="67"/>
        <item x="32"/>
        <item x="4"/>
        <item x="15"/>
        <item x="19"/>
        <item x="20"/>
        <item x="23"/>
        <item x="25"/>
        <item x="27"/>
        <item x="30"/>
        <item m="1" x="76"/>
        <item x="35"/>
        <item x="36"/>
        <item x="37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Col" showAll="0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65"/>
    </i>
    <i>
      <x v="76"/>
    </i>
    <i>
      <x v="30"/>
    </i>
    <i>
      <x v="61"/>
    </i>
    <i>
      <x v="53"/>
    </i>
    <i t="grand">
      <x/>
    </i>
  </rowItems>
  <colFields count="1">
    <field x="8"/>
  </colFields>
  <colItems count="5">
    <i>
      <x v="2"/>
    </i>
    <i>
      <x v="18"/>
    </i>
    <i>
      <x v="20"/>
    </i>
    <i>
      <x v="24"/>
    </i>
    <i t="grand">
      <x/>
    </i>
  </colItems>
  <pageFields count="2">
    <pageField fld="3" hier="-1"/>
    <pageField fld="2" hier="-1"/>
  </pageFields>
  <dataFields count="1">
    <dataField name="Sum of Qty" fld="5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1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9FA63-0234-4278-AD17-5951A7ABF71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4:J11" firstHeaderRow="1" firstDataRow="2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6">
        <item x="0"/>
        <item h="1" x="2"/>
        <item h="1" x="1"/>
        <item h="1" x="3"/>
        <item h="1" m="1" x="4"/>
        <item t="default"/>
      </items>
    </pivotField>
    <pivotField axis="axisRow" showAll="0" measureFilter="1" sortType="ascending">
      <items count="85">
        <item x="24"/>
        <item x="28"/>
        <item x="33"/>
        <item x="54"/>
        <item x="13"/>
        <item x="41"/>
        <item x="55"/>
        <item x="7"/>
        <item x="14"/>
        <item m="1" x="72"/>
        <item x="8"/>
        <item m="1" x="82"/>
        <item x="50"/>
        <item x="9"/>
        <item x="10"/>
        <item x="11"/>
        <item x="12"/>
        <item x="16"/>
        <item m="1" x="70"/>
        <item x="26"/>
        <item x="3"/>
        <item x="6"/>
        <item x="1"/>
        <item x="43"/>
        <item x="38"/>
        <item x="31"/>
        <item m="1" x="83"/>
        <item m="1" x="80"/>
        <item m="1" x="77"/>
        <item m="1" x="78"/>
        <item x="18"/>
        <item x="66"/>
        <item x="45"/>
        <item x="34"/>
        <item x="17"/>
        <item m="1" x="75"/>
        <item x="21"/>
        <item x="62"/>
        <item m="1" x="74"/>
        <item m="1" x="69"/>
        <item x="22"/>
        <item m="1" x="73"/>
        <item m="1" x="79"/>
        <item x="48"/>
        <item x="0"/>
        <item m="1" x="81"/>
        <item x="5"/>
        <item x="53"/>
        <item x="47"/>
        <item x="42"/>
        <item x="2"/>
        <item m="1" x="71"/>
        <item x="29"/>
        <item x="56"/>
        <item m="1" x="68"/>
        <item x="49"/>
        <item m="1" x="67"/>
        <item x="32"/>
        <item x="4"/>
        <item x="15"/>
        <item x="19"/>
        <item x="20"/>
        <item x="23"/>
        <item x="25"/>
        <item x="27"/>
        <item x="30"/>
        <item m="1" x="76"/>
        <item x="35"/>
        <item x="36"/>
        <item x="37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Col" showAll="0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44"/>
    </i>
    <i>
      <x v="22"/>
    </i>
    <i>
      <x v="20"/>
    </i>
    <i>
      <x v="24"/>
    </i>
    <i>
      <x/>
    </i>
    <i t="grand">
      <x/>
    </i>
  </rowItems>
  <colFields count="1">
    <field x="8"/>
  </colFields>
  <colItems count="9">
    <i>
      <x/>
    </i>
    <i>
      <x v="3"/>
    </i>
    <i>
      <x v="15"/>
    </i>
    <i>
      <x v="16"/>
    </i>
    <i>
      <x v="8"/>
    </i>
    <i>
      <x v="17"/>
    </i>
    <i>
      <x v="18"/>
    </i>
    <i>
      <x v="4"/>
    </i>
    <i t="grand">
      <x/>
    </i>
  </colItems>
  <pageFields count="2">
    <pageField fld="3" hier="-1"/>
    <pageField fld="2" hier="-1"/>
  </pageFields>
  <dataFields count="1">
    <dataField name="Sum of Total Cost" fld="7" baseField="0" baseItem="9" numFmtId="167"/>
  </dataFields>
  <chartFormats count="55">
    <chartFormat chart="4" format="14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4" format="15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4" format="16" series="1">
      <pivotArea type="data" outline="0" fieldPosition="0">
        <references count="1">
          <reference field="8" count="1" selected="0">
            <x v="11"/>
          </reference>
        </references>
      </pivotArea>
    </chartFormat>
    <chartFormat chart="4" format="17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4" format="19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3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8" count="1" selected="0">
            <x v="1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3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8" count="1" selected="0">
            <x v="11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15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5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5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8" count="1" selected="0">
            <x v="15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15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18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16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8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8" count="1" selected="0">
            <x v="20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8" count="1" selected="0">
            <x v="0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20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44"/>
          </reference>
          <reference field="8" count="1" selected="0">
            <x v="0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8" count="1" selected="0">
            <x v="18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8" count="1" selected="0">
            <x v="20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8" count="1" selected="0">
            <x v="0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8" count="1" selected="0">
            <x v="8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8" count="1" selected="0">
            <x v="3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8" count="1" selected="0">
            <x v="0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8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1D907-483B-4920-AD42-3759936AD43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4:F11" firstHeaderRow="1" firstDataRow="2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h="1" x="0"/>
        <item x="1"/>
        <item x="2"/>
        <item t="default"/>
      </items>
    </pivotField>
    <pivotField axis="axisPage" multipleItemSelectionAllowed="1" showAll="0">
      <items count="6">
        <item h="1" x="0"/>
        <item h="1" x="2"/>
        <item x="1"/>
        <item x="3"/>
        <item h="1" m="1" x="4"/>
        <item t="default"/>
      </items>
    </pivotField>
    <pivotField axis="axisRow" showAll="0" measureFilter="1" sortType="ascending">
      <items count="85">
        <item x="24"/>
        <item x="28"/>
        <item x="33"/>
        <item x="54"/>
        <item x="13"/>
        <item x="41"/>
        <item x="55"/>
        <item x="7"/>
        <item x="14"/>
        <item m="1" x="72"/>
        <item x="8"/>
        <item m="1" x="82"/>
        <item x="50"/>
        <item x="9"/>
        <item x="10"/>
        <item x="11"/>
        <item x="12"/>
        <item x="16"/>
        <item m="1" x="70"/>
        <item x="26"/>
        <item x="3"/>
        <item x="6"/>
        <item x="1"/>
        <item x="43"/>
        <item x="38"/>
        <item x="31"/>
        <item m="1" x="83"/>
        <item m="1" x="80"/>
        <item m="1" x="77"/>
        <item m="1" x="78"/>
        <item x="18"/>
        <item x="66"/>
        <item x="45"/>
        <item x="34"/>
        <item x="17"/>
        <item m="1" x="75"/>
        <item x="21"/>
        <item x="62"/>
        <item m="1" x="74"/>
        <item m="1" x="69"/>
        <item x="22"/>
        <item m="1" x="73"/>
        <item m="1" x="79"/>
        <item x="48"/>
        <item x="0"/>
        <item m="1" x="81"/>
        <item x="5"/>
        <item x="53"/>
        <item x="47"/>
        <item x="42"/>
        <item x="2"/>
        <item m="1" x="71"/>
        <item x="29"/>
        <item x="56"/>
        <item m="1" x="68"/>
        <item x="49"/>
        <item m="1" x="67"/>
        <item x="32"/>
        <item x="4"/>
        <item x="15"/>
        <item x="19"/>
        <item x="20"/>
        <item x="23"/>
        <item x="25"/>
        <item x="27"/>
        <item x="30"/>
        <item m="1" x="76"/>
        <item x="35"/>
        <item x="36"/>
        <item x="37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Col" showAll="0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h="1"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h="1" m="1" x="19"/>
        <item h="1" m="1" x="18"/>
        <item h="1" m="1" x="17"/>
        <item h="1" x="11"/>
        <item h="1"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6"/>
    </i>
    <i>
      <x v="7"/>
    </i>
    <i>
      <x v="37"/>
    </i>
    <i>
      <x v="8"/>
    </i>
    <i>
      <x v="17"/>
    </i>
    <i t="grand">
      <x/>
    </i>
  </rowItems>
  <colFields count="1">
    <field x="8"/>
  </colFields>
  <colItems count="5">
    <i>
      <x v="8"/>
    </i>
    <i>
      <x v="12"/>
    </i>
    <i>
      <x/>
    </i>
    <i>
      <x v="17"/>
    </i>
    <i t="grand">
      <x/>
    </i>
  </colItems>
  <pageFields count="2">
    <pageField fld="3" hier="-1"/>
    <pageField fld="2" hier="-1"/>
  </pageFields>
  <dataFields count="1">
    <dataField name="Sum of Total Cost" fld="7" baseField="3" baseItem="17" numFmtId="167"/>
  </dataFields>
  <chartFormats count="11">
    <chartFormat chart="4" format="27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4" format="28" series="1">
      <pivotArea type="data" outline="0" fieldPosition="0">
        <references count="1">
          <reference field="8" count="1" selected="0">
            <x v="12"/>
          </reference>
        </references>
      </pivotArea>
    </chartFormat>
    <chartFormat chart="4" format="29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4" format="30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4" format="31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BD48F-A4FF-49C3-BAE0-75549F569F6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4:E11" firstHeaderRow="1" firstDataRow="2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h="1" x="0"/>
        <item x="1"/>
        <item x="2"/>
        <item t="default"/>
      </items>
    </pivotField>
    <pivotField axis="axisPage" multipleItemSelectionAllowed="1" showAll="0">
      <items count="6">
        <item h="1" x="0"/>
        <item x="2"/>
        <item h="1" x="1"/>
        <item h="1" x="3"/>
        <item h="1" m="1" x="4"/>
        <item t="default"/>
      </items>
    </pivotField>
    <pivotField axis="axisRow" showAll="0" measureFilter="1" sortType="ascending">
      <items count="85">
        <item x="24"/>
        <item x="28"/>
        <item x="33"/>
        <item x="54"/>
        <item x="13"/>
        <item x="41"/>
        <item x="55"/>
        <item x="7"/>
        <item x="14"/>
        <item m="1" x="72"/>
        <item x="8"/>
        <item m="1" x="82"/>
        <item x="50"/>
        <item x="9"/>
        <item x="10"/>
        <item x="11"/>
        <item x="12"/>
        <item x="16"/>
        <item m="1" x="70"/>
        <item x="26"/>
        <item x="3"/>
        <item x="6"/>
        <item x="1"/>
        <item x="43"/>
        <item x="38"/>
        <item x="31"/>
        <item m="1" x="83"/>
        <item m="1" x="80"/>
        <item m="1" x="77"/>
        <item m="1" x="78"/>
        <item x="18"/>
        <item x="66"/>
        <item x="45"/>
        <item x="34"/>
        <item x="17"/>
        <item m="1" x="75"/>
        <item x="21"/>
        <item x="62"/>
        <item m="1" x="74"/>
        <item m="1" x="69"/>
        <item x="22"/>
        <item m="1" x="73"/>
        <item m="1" x="79"/>
        <item x="48"/>
        <item x="0"/>
        <item m="1" x="81"/>
        <item x="5"/>
        <item x="53"/>
        <item x="47"/>
        <item x="42"/>
        <item x="2"/>
        <item m="1" x="71"/>
        <item x="29"/>
        <item x="56"/>
        <item m="1" x="68"/>
        <item x="49"/>
        <item m="1" x="67"/>
        <item x="32"/>
        <item x="4"/>
        <item x="15"/>
        <item x="19"/>
        <item x="20"/>
        <item x="23"/>
        <item x="25"/>
        <item x="27"/>
        <item x="30"/>
        <item m="1" x="76"/>
        <item x="35"/>
        <item x="36"/>
        <item x="37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Col" showAll="0" measureFilter="1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24"/>
    </i>
    <i>
      <x v="76"/>
    </i>
    <i>
      <x v="65"/>
    </i>
    <i>
      <x v="53"/>
    </i>
    <i>
      <x v="61"/>
    </i>
    <i t="grand">
      <x/>
    </i>
  </rowItems>
  <colFields count="1">
    <field x="8"/>
  </colFields>
  <colItems count="4">
    <i>
      <x v="18"/>
    </i>
    <i>
      <x v="24"/>
    </i>
    <i>
      <x v="20"/>
    </i>
    <i t="grand">
      <x/>
    </i>
  </colItems>
  <pageFields count="2">
    <pageField fld="3" hier="-1"/>
    <pageField fld="2" hier="-1"/>
  </pageFields>
  <dataFields count="1">
    <dataField name="Sum of Total Cost" fld="7" baseField="0" baseItem="9" numFmtId="167"/>
  </dataFields>
  <chartFormats count="11">
    <chartFormat chart="3" format="19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3" format="20" series="1">
      <pivotArea type="data" outline="0" fieldPosition="0">
        <references count="1">
          <reference field="8" count="1" selected="0">
            <x v="1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3" iMeasureFld="0">
      <autoFilter ref="A1">
        <filterColumn colId="0">
          <top10 val="3" filterVal="3"/>
        </filterColumn>
      </autoFilter>
    </filter>
    <filter fld="4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D3106-72B8-44EA-90E3-93731103989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4:B13" firstHeaderRow="1" firstDataRow="1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6">
        <item x="0"/>
        <item h="1" x="2"/>
        <item h="1" x="1"/>
        <item h="1" x="3"/>
        <item h="1" m="1" x="4"/>
        <item t="default"/>
      </items>
    </pivotField>
    <pivotField showAll="0"/>
    <pivotField dataField="1" showAll="0"/>
    <pivotField showAll="0"/>
    <pivotField showAll="0"/>
    <pivotField axis="axisRow" showAll="0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9">
    <i>
      <x/>
    </i>
    <i>
      <x v="3"/>
    </i>
    <i>
      <x v="18"/>
    </i>
    <i>
      <x v="4"/>
    </i>
    <i>
      <x v="15"/>
    </i>
    <i>
      <x v="16"/>
    </i>
    <i>
      <x v="8"/>
    </i>
    <i>
      <x v="17"/>
    </i>
    <i t="grand">
      <x/>
    </i>
  </rowItems>
  <colItems count="1">
    <i/>
  </colItems>
  <pageFields count="2">
    <pageField fld="3" hier="-1"/>
    <pageField fld="2" hier="-1"/>
  </pageFields>
  <dataFields count="1">
    <dataField name="Sum of Qty" fld="5" showDataAs="percentOfTotal" baseField="6" baseItem="7" numFmtId="10"/>
  </dataFields>
  <chartFormats count="14">
    <chartFormat chart="7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860C-F32E-4490-8331-7C74015E64C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4:B9" firstHeaderRow="1" firstDataRow="1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6">
        <item h="1" x="0"/>
        <item h="1" x="2"/>
        <item x="1"/>
        <item h="1" x="3"/>
        <item h="1" m="1" x="4"/>
        <item t="default"/>
      </items>
    </pivotField>
    <pivotField showAll="0"/>
    <pivotField dataField="1" showAll="0"/>
    <pivotField showAll="0"/>
    <pivotField showAll="0"/>
    <pivotField axis="axisRow" showAll="0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5">
    <i>
      <x v="8"/>
    </i>
    <i>
      <x/>
    </i>
    <i>
      <x v="12"/>
    </i>
    <i>
      <x v="17"/>
    </i>
    <i t="grand">
      <x/>
    </i>
  </rowItems>
  <colItems count="1">
    <i/>
  </colItems>
  <pageFields count="2">
    <pageField fld="3" hier="-1"/>
    <pageField fld="2" hier="-1"/>
  </pageFields>
  <dataFields count="1">
    <dataField name="Sum of Qty" fld="5" showDataAs="percentOfTotal" baseField="6" baseItem="8" numFmtId="10"/>
  </dataFields>
  <chartFormats count="13">
    <chartFormat chart="4" format="27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4" format="28" series="1">
      <pivotArea type="data" outline="0" fieldPosition="0">
        <references count="1">
          <reference field="8" count="1" selected="0">
            <x v="12"/>
          </reference>
        </references>
      </pivotArea>
    </chartFormat>
    <chartFormat chart="4" format="29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4" format="30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4" format="31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FC196-081B-49F7-AEA0-258EA9DC0E8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4:B11" firstHeaderRow="1" firstDataRow="1" firstDataCol="1" rowPageCount="2" colPageCount="1"/>
  <pivotFields count="11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axis="axisPage" multipleItemSelectionAllowed="1" showAll="0">
      <items count="6">
        <item h="1" x="0"/>
        <item x="2"/>
        <item h="1" x="1"/>
        <item h="1" x="3"/>
        <item h="1" m="1" x="4"/>
        <item t="default"/>
      </items>
    </pivotField>
    <pivotField showAll="0"/>
    <pivotField dataField="1" showAll="0"/>
    <pivotField showAll="0"/>
    <pivotField showAll="0"/>
    <pivotField axis="axisRow" showAll="0" sortType="descending">
      <items count="27">
        <item x="1"/>
        <item m="1" x="24"/>
        <item x="6"/>
        <item x="0"/>
        <item x="3"/>
        <item m="1" x="21"/>
        <item m="1" x="15"/>
        <item m="1" x="16"/>
        <item x="4"/>
        <item x="12"/>
        <item m="1" x="22"/>
        <item m="1" x="25"/>
        <item x="5"/>
        <item m="1" x="20"/>
        <item m="1" x="23"/>
        <item x="2"/>
        <item x="8"/>
        <item x="9"/>
        <item x="7"/>
        <item m="1" x="14"/>
        <item x="10"/>
        <item m="1" x="19"/>
        <item m="1" x="18"/>
        <item m="1" x="17"/>
        <item x="11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7">
    <i>
      <x v="18"/>
    </i>
    <i>
      <x v="24"/>
    </i>
    <i>
      <x v="2"/>
    </i>
    <i>
      <x v="20"/>
    </i>
    <i>
      <x v="15"/>
    </i>
    <i>
      <x/>
    </i>
    <i t="grand">
      <x/>
    </i>
  </rowItems>
  <colItems count="1">
    <i/>
  </colItems>
  <pageFields count="2">
    <pageField fld="3" hier="-1"/>
    <pageField fld="2" hier="-1"/>
  </pageFields>
  <dataFields count="1">
    <dataField name="Sum of Qty" fld="5" showDataAs="percentOfTotal" baseField="0" baseItem="9" numFmtId="10"/>
  </dataFields>
  <chartFormats count="17">
    <chartFormat chart="3" format="19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3" format="20" series="1">
      <pivotArea type="data" outline="0" fieldPosition="0">
        <references count="1">
          <reference field="8" count="1" selected="0">
            <x v="10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9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BBFFC-1E0A-4FEC-B0EA-AE93AC1D800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M10" firstHeaderRow="1" firstDataRow="2" firstDataCol="1" rowPageCount="1" colPageCount="1"/>
  <pivotFields count="7"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 measureFilter="1" sortType="descending">
      <items count="84">
        <item x="24"/>
        <item x="27"/>
        <item x="15"/>
        <item x="48"/>
        <item x="28"/>
        <item x="33"/>
        <item x="54"/>
        <item x="13"/>
        <item x="41"/>
        <item x="55"/>
        <item x="7"/>
        <item x="14"/>
        <item m="1" x="72"/>
        <item x="47"/>
        <item x="8"/>
        <item m="1" x="81"/>
        <item x="50"/>
        <item x="9"/>
        <item x="10"/>
        <item x="36"/>
        <item x="11"/>
        <item x="12"/>
        <item x="16"/>
        <item m="1" x="74"/>
        <item m="1" x="69"/>
        <item m="1" x="70"/>
        <item x="4"/>
        <item m="1" x="71"/>
        <item x="25"/>
        <item x="0"/>
        <item m="1" x="80"/>
        <item x="26"/>
        <item x="3"/>
        <item x="5"/>
        <item x="6"/>
        <item x="1"/>
        <item x="34"/>
        <item x="43"/>
        <item m="1" x="67"/>
        <item x="45"/>
        <item m="1" x="68"/>
        <item x="53"/>
        <item x="38"/>
        <item x="49"/>
        <item x="2"/>
        <item x="62"/>
        <item x="32"/>
        <item x="31"/>
        <item x="29"/>
        <item x="17"/>
        <item x="30"/>
        <item x="19"/>
        <item x="37"/>
        <item x="20"/>
        <item m="1" x="75"/>
        <item m="1" x="82"/>
        <item x="21"/>
        <item x="22"/>
        <item m="1" x="79"/>
        <item x="23"/>
        <item x="42"/>
        <item x="56"/>
        <item m="1" x="76"/>
        <item m="1" x="77"/>
        <item x="18"/>
        <item m="1" x="78"/>
        <item m="1" x="73"/>
        <item x="35"/>
        <item x="66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Col" showAll="0">
      <items count="26">
        <item x="1"/>
        <item m="1" x="24"/>
        <item m="1" x="23"/>
        <item x="9"/>
        <item x="6"/>
        <item x="5"/>
        <item m="1" x="19"/>
        <item x="0"/>
        <item x="2"/>
        <item m="1" x="20"/>
        <item x="3"/>
        <item m="1" x="21"/>
        <item m="1" x="15"/>
        <item x="7"/>
        <item m="1" x="22"/>
        <item x="10"/>
        <item x="8"/>
        <item m="1" x="16"/>
        <item x="4"/>
        <item x="12"/>
        <item m="1" x="18"/>
        <item m="1" x="14"/>
        <item m="1" x="17"/>
        <item x="11"/>
        <item m="1" x="13"/>
        <item t="default"/>
      </items>
    </pivotField>
  </pivotFields>
  <rowFields count="1">
    <field x="2"/>
  </rowFields>
  <rowItems count="6">
    <i>
      <x/>
    </i>
    <i>
      <x v="42"/>
    </i>
    <i>
      <x v="29"/>
    </i>
    <i>
      <x v="34"/>
    </i>
    <i>
      <x v="53"/>
    </i>
    <i t="grand">
      <x/>
    </i>
  </rowItems>
  <colFields count="1">
    <field x="6"/>
  </colFields>
  <colItems count="12">
    <i>
      <x/>
    </i>
    <i>
      <x v="3"/>
    </i>
    <i>
      <x v="4"/>
    </i>
    <i>
      <x v="5"/>
    </i>
    <i>
      <x v="7"/>
    </i>
    <i>
      <x v="8"/>
    </i>
    <i>
      <x v="13"/>
    </i>
    <i>
      <x v="15"/>
    </i>
    <i>
      <x v="16"/>
    </i>
    <i>
      <x v="18"/>
    </i>
    <i>
      <x v="23"/>
    </i>
    <i t="grand">
      <x/>
    </i>
  </colItems>
  <pageFields count="1">
    <pageField fld="0" hier="-1"/>
  </pageFields>
  <dataFields count="1">
    <dataField name="Sum of Total Cost" fld="5" baseField="0" baseItem="0"/>
  </dataFields>
  <chartFormats count="44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6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6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6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6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6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6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6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6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6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6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6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CCBF1-593A-4719-A1AE-623C703FBE98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M10" firstHeaderRow="1" firstDataRow="2" firstDataCol="1" rowPageCount="1" colPageCount="1"/>
  <pivotFields count="7"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 measureFilter="1" sortType="descending">
      <items count="84">
        <item x="24"/>
        <item x="27"/>
        <item x="15"/>
        <item x="48"/>
        <item x="28"/>
        <item x="33"/>
        <item x="54"/>
        <item x="13"/>
        <item x="41"/>
        <item x="55"/>
        <item x="7"/>
        <item x="14"/>
        <item m="1" x="72"/>
        <item x="47"/>
        <item x="8"/>
        <item m="1" x="81"/>
        <item x="50"/>
        <item x="9"/>
        <item x="10"/>
        <item x="36"/>
        <item x="11"/>
        <item x="12"/>
        <item x="16"/>
        <item m="1" x="74"/>
        <item m="1" x="69"/>
        <item m="1" x="70"/>
        <item x="4"/>
        <item m="1" x="71"/>
        <item x="25"/>
        <item x="0"/>
        <item m="1" x="80"/>
        <item x="26"/>
        <item x="3"/>
        <item x="5"/>
        <item x="6"/>
        <item x="1"/>
        <item x="34"/>
        <item x="43"/>
        <item m="1" x="67"/>
        <item x="45"/>
        <item m="1" x="68"/>
        <item x="53"/>
        <item x="38"/>
        <item x="49"/>
        <item x="2"/>
        <item x="62"/>
        <item x="32"/>
        <item x="31"/>
        <item x="29"/>
        <item x="17"/>
        <item x="30"/>
        <item x="19"/>
        <item x="37"/>
        <item x="20"/>
        <item m="1" x="75"/>
        <item m="1" x="82"/>
        <item x="21"/>
        <item x="22"/>
        <item m="1" x="79"/>
        <item x="23"/>
        <item x="42"/>
        <item x="56"/>
        <item m="1" x="76"/>
        <item m="1" x="77"/>
        <item x="18"/>
        <item m="1" x="78"/>
        <item m="1" x="73"/>
        <item x="35"/>
        <item x="66"/>
        <item x="39"/>
        <item x="40"/>
        <item x="44"/>
        <item x="46"/>
        <item x="51"/>
        <item x="52"/>
        <item x="57"/>
        <item x="58"/>
        <item x="59"/>
        <item x="60"/>
        <item x="61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Col" showAll="0">
      <items count="26">
        <item x="1"/>
        <item m="1" x="24"/>
        <item m="1" x="23"/>
        <item x="9"/>
        <item x="6"/>
        <item x="5"/>
        <item m="1" x="19"/>
        <item x="0"/>
        <item x="2"/>
        <item m="1" x="20"/>
        <item x="3"/>
        <item m="1" x="21"/>
        <item m="1" x="15"/>
        <item x="7"/>
        <item m="1" x="22"/>
        <item x="10"/>
        <item x="8"/>
        <item m="1" x="16"/>
        <item x="4"/>
        <item x="12"/>
        <item m="1" x="18"/>
        <item m="1" x="14"/>
        <item m="1" x="17"/>
        <item x="11"/>
        <item m="1" x="13"/>
        <item t="default"/>
      </items>
    </pivotField>
  </pivotFields>
  <rowFields count="1">
    <field x="2"/>
  </rowFields>
  <rowItems count="6">
    <i>
      <x/>
    </i>
    <i>
      <x v="61"/>
    </i>
    <i>
      <x v="53"/>
    </i>
    <i>
      <x v="64"/>
    </i>
    <i>
      <x v="75"/>
    </i>
    <i t="grand">
      <x/>
    </i>
  </rowItems>
  <colFields count="1">
    <field x="6"/>
  </colFields>
  <colItems count="12">
    <i>
      <x/>
    </i>
    <i>
      <x v="3"/>
    </i>
    <i>
      <x v="4"/>
    </i>
    <i>
      <x v="5"/>
    </i>
    <i>
      <x v="7"/>
    </i>
    <i>
      <x v="8"/>
    </i>
    <i>
      <x v="13"/>
    </i>
    <i>
      <x v="15"/>
    </i>
    <i>
      <x v="16"/>
    </i>
    <i>
      <x v="18"/>
    </i>
    <i>
      <x v="23"/>
    </i>
    <i t="grand">
      <x/>
    </i>
  </colItems>
  <pageFields count="1">
    <pageField fld="0" hier="-1"/>
  </pageFields>
  <dataFields count="1">
    <dataField name="Sum of Qty" fld="3" baseField="0" baseItem="0"/>
  </dataFields>
  <chartFormats count="54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6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6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6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6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6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6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6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6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6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6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6" count="1" selected="0">
            <x v="19"/>
          </reference>
        </references>
      </pivotArea>
    </chartFormat>
    <chartFormat chart="1" format="57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" format="58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" format="59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1" format="60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1" format="61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1" format="62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1" format="63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1" format="64" series="1">
      <pivotArea type="data" outline="0" fieldPosition="0">
        <references count="1">
          <reference field="6" count="1" selected="0">
            <x v="8"/>
          </reference>
        </references>
      </pivotArea>
    </chartFormat>
    <chartFormat chart="1" format="65" series="1">
      <pivotArea type="data" outline="0" fieldPosition="0">
        <references count="1">
          <reference field="6" count="1" selected="0">
            <x v="9"/>
          </reference>
        </references>
      </pivotArea>
    </chartFormat>
    <chartFormat chart="1" format="66" series="1">
      <pivotArea type="data" outline="0" fieldPosition="0">
        <references count="1">
          <reference field="6" count="1" selected="0">
            <x v="10"/>
          </reference>
        </references>
      </pivotArea>
    </chartFormat>
    <chartFormat chart="1" format="67" series="1">
      <pivotArea type="data" outline="0" fieldPosition="0">
        <references count="1">
          <reference field="6" count="1" selected="0">
            <x v="13"/>
          </reference>
        </references>
      </pivotArea>
    </chartFormat>
    <chartFormat chart="1" format="68" series="1">
      <pivotArea type="data" outline="0" fieldPosition="0">
        <references count="1">
          <reference field="6" count="1" selected="0">
            <x v="14"/>
          </reference>
        </references>
      </pivotArea>
    </chartFormat>
    <chartFormat chart="1" format="69" series="1">
      <pivotArea type="data" outline="0" fieldPosition="0">
        <references count="1">
          <reference field="6" count="1" selected="0">
            <x v="15"/>
          </reference>
        </references>
      </pivotArea>
    </chartFormat>
    <chartFormat chart="1" format="70" series="1">
      <pivotArea type="data" outline="0" fieldPosition="0">
        <references count="1">
          <reference field="6" count="1" selected="0">
            <x v="16"/>
          </reference>
        </references>
      </pivotArea>
    </chartFormat>
    <chartFormat chart="1" format="71" series="1">
      <pivotArea type="data" outline="0" fieldPosition="0">
        <references count="1">
          <reference field="6" count="1" selected="0">
            <x v="18"/>
          </reference>
        </references>
      </pivotArea>
    </chartFormat>
    <chartFormat chart="1" format="72" series="1">
      <pivotArea type="data" outline="0" fieldPosition="0">
        <references count="1">
          <reference field="6" count="1" selected="0">
            <x v="20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" format="8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1" format="8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1" format="8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1" format="8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1" format="8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1" format="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1" format="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1" format="8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1" format="9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7B97B-4752-49B2-8AB5-B80BE3046EF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>
  <location ref="A5:E21" firstHeaderRow="1" firstDataRow="2" firstDataCol="1"/>
  <pivotFields count="11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ultipleItemSelectionAllowed="1" showAll="0">
      <items count="4">
        <item x="0"/>
        <item x="1"/>
        <item h="1" x="2"/>
        <item t="default"/>
      </items>
    </pivotField>
    <pivotField axis="axisCol" multipleItemSelectionAllowed="1" showAll="0">
      <items count="6">
        <item x="0"/>
        <item x="2"/>
        <item x="1"/>
        <item h="1" x="3"/>
        <item h="1" m="1" x="4"/>
        <item t="default"/>
      </items>
    </pivotField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 sortType="ascending"/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rowItems count="15">
    <i>
      <x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Qty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6F43-98B4-4E3B-9991-2461D149668F}">
  <dimension ref="A1:H475"/>
  <sheetViews>
    <sheetView zoomScale="70" zoomScaleNormal="70" workbookViewId="0">
      <pane ySplit="1" topLeftCell="A154" activePane="bottomLeft" state="frozen"/>
      <selection pane="bottomLeft" activeCell="C191" sqref="C191"/>
    </sheetView>
  </sheetViews>
  <sheetFormatPr defaultRowHeight="15"/>
  <cols>
    <col min="1" max="2" width="22.42578125" style="3" customWidth="1"/>
    <col min="3" max="3" width="18.5703125" style="3" customWidth="1"/>
    <col min="4" max="4" width="50.85546875" style="3" customWidth="1"/>
    <col min="5" max="5" width="20.28515625" style="29" customWidth="1"/>
    <col min="6" max="7" width="20.28515625" style="3" customWidth="1"/>
    <col min="8" max="8" width="28.140625" style="3" customWidth="1"/>
  </cols>
  <sheetData>
    <row r="1" spans="1:8">
      <c r="A1" s="8" t="s">
        <v>5</v>
      </c>
      <c r="B1" s="8" t="s">
        <v>177</v>
      </c>
      <c r="C1" s="8" t="s">
        <v>6</v>
      </c>
      <c r="D1" s="8" t="s">
        <v>0</v>
      </c>
      <c r="E1" s="21" t="s">
        <v>2</v>
      </c>
      <c r="F1" s="8" t="s">
        <v>94</v>
      </c>
      <c r="G1" s="8" t="s">
        <v>95</v>
      </c>
      <c r="H1" s="8" t="s">
        <v>1</v>
      </c>
    </row>
    <row r="2" spans="1:8">
      <c r="A2" s="3" t="s">
        <v>34</v>
      </c>
      <c r="B2" s="3">
        <v>2024</v>
      </c>
      <c r="C2" s="3" t="s">
        <v>7</v>
      </c>
      <c r="D2" s="4" t="s">
        <v>3</v>
      </c>
      <c r="E2" s="22">
        <v>2</v>
      </c>
      <c r="F2" s="4">
        <v>129.29</v>
      </c>
      <c r="G2" s="4">
        <f>E2*F2</f>
        <v>258.58</v>
      </c>
      <c r="H2" s="3" t="s">
        <v>8</v>
      </c>
    </row>
    <row r="3" spans="1:8">
      <c r="A3" s="3" t="s">
        <v>34</v>
      </c>
      <c r="B3" s="3">
        <v>2024</v>
      </c>
      <c r="C3" s="3" t="s">
        <v>7</v>
      </c>
      <c r="D3" s="4" t="s">
        <v>4</v>
      </c>
      <c r="E3" s="22">
        <v>3</v>
      </c>
      <c r="F3" s="4">
        <v>87.06</v>
      </c>
      <c r="G3" s="4">
        <f t="shared" ref="G3:G66" si="0">E3*F3</f>
        <v>261.18</v>
      </c>
      <c r="H3" s="3" t="s">
        <v>8</v>
      </c>
    </row>
    <row r="4" spans="1:8">
      <c r="A4" s="3" t="s">
        <v>34</v>
      </c>
      <c r="B4" s="3">
        <v>2024</v>
      </c>
      <c r="C4" s="3" t="s">
        <v>7</v>
      </c>
      <c r="D4" s="2" t="s">
        <v>9</v>
      </c>
      <c r="E4" s="23">
        <v>1</v>
      </c>
      <c r="F4" s="4">
        <v>96.65</v>
      </c>
      <c r="G4" s="4">
        <f t="shared" si="0"/>
        <v>96.65</v>
      </c>
      <c r="H4" s="3" t="s">
        <v>10</v>
      </c>
    </row>
    <row r="5" spans="1:8">
      <c r="A5" s="3" t="s">
        <v>34</v>
      </c>
      <c r="B5" s="3">
        <v>2024</v>
      </c>
      <c r="C5" s="3" t="s">
        <v>12</v>
      </c>
      <c r="D5" s="2" t="s">
        <v>11</v>
      </c>
      <c r="E5" s="23">
        <v>2</v>
      </c>
      <c r="F5" s="4">
        <v>33.33</v>
      </c>
      <c r="G5" s="4">
        <f t="shared" si="0"/>
        <v>66.66</v>
      </c>
      <c r="H5" s="3" t="s">
        <v>13</v>
      </c>
    </row>
    <row r="6" spans="1:8">
      <c r="A6" s="3" t="s">
        <v>34</v>
      </c>
      <c r="B6" s="3">
        <v>2024</v>
      </c>
      <c r="C6" s="3" t="s">
        <v>12</v>
      </c>
      <c r="D6" s="7" t="s">
        <v>14</v>
      </c>
      <c r="E6" s="24">
        <v>7</v>
      </c>
      <c r="F6" s="4">
        <v>47.43</v>
      </c>
      <c r="G6" s="4">
        <f t="shared" si="0"/>
        <v>332.01</v>
      </c>
      <c r="H6" s="3" t="s">
        <v>16</v>
      </c>
    </row>
    <row r="7" spans="1:8">
      <c r="A7" s="3" t="s">
        <v>34</v>
      </c>
      <c r="B7" s="3">
        <v>2024</v>
      </c>
      <c r="C7" s="3" t="s">
        <v>12</v>
      </c>
      <c r="D7" s="7" t="s">
        <v>17</v>
      </c>
      <c r="E7" s="24">
        <v>2</v>
      </c>
      <c r="F7" s="4">
        <v>18.440000000000001</v>
      </c>
      <c r="G7" s="4">
        <f t="shared" si="0"/>
        <v>36.880000000000003</v>
      </c>
      <c r="H7" s="3" t="s">
        <v>15</v>
      </c>
    </row>
    <row r="8" spans="1:8">
      <c r="A8" s="3" t="s">
        <v>34</v>
      </c>
      <c r="B8" s="3">
        <v>2024</v>
      </c>
      <c r="C8" s="3" t="s">
        <v>12</v>
      </c>
      <c r="D8" s="7" t="s">
        <v>18</v>
      </c>
      <c r="E8" s="24">
        <v>3</v>
      </c>
      <c r="F8" s="4">
        <v>19.14</v>
      </c>
      <c r="G8" s="4">
        <f t="shared" si="0"/>
        <v>57.42</v>
      </c>
      <c r="H8" s="3" t="s">
        <v>15</v>
      </c>
    </row>
    <row r="9" spans="1:8">
      <c r="A9" s="3" t="s">
        <v>34</v>
      </c>
      <c r="B9" s="3">
        <v>2024</v>
      </c>
      <c r="C9" s="3" t="s">
        <v>12</v>
      </c>
      <c r="D9" s="7" t="s">
        <v>19</v>
      </c>
      <c r="E9" s="24">
        <v>5</v>
      </c>
      <c r="F9" s="4">
        <v>26.49</v>
      </c>
      <c r="G9" s="4">
        <f t="shared" si="0"/>
        <v>132.44999999999999</v>
      </c>
      <c r="H9" s="3" t="s">
        <v>15</v>
      </c>
    </row>
    <row r="10" spans="1:8">
      <c r="A10" s="3" t="s">
        <v>34</v>
      </c>
      <c r="B10" s="3">
        <v>2024</v>
      </c>
      <c r="C10" s="3" t="s">
        <v>12</v>
      </c>
      <c r="D10" s="7" t="s">
        <v>20</v>
      </c>
      <c r="E10" s="24">
        <v>4</v>
      </c>
      <c r="F10" s="4">
        <v>44.53</v>
      </c>
      <c r="G10" s="4">
        <f t="shared" si="0"/>
        <v>178.12</v>
      </c>
      <c r="H10" s="3" t="s">
        <v>15</v>
      </c>
    </row>
    <row r="11" spans="1:8">
      <c r="A11" s="3" t="s">
        <v>34</v>
      </c>
      <c r="B11" s="3">
        <v>2024</v>
      </c>
      <c r="C11" s="3" t="s">
        <v>12</v>
      </c>
      <c r="D11" s="7" t="s">
        <v>21</v>
      </c>
      <c r="E11" s="24">
        <v>4</v>
      </c>
      <c r="F11" s="4">
        <v>48.39</v>
      </c>
      <c r="G11" s="4">
        <f t="shared" si="0"/>
        <v>193.56</v>
      </c>
      <c r="H11" s="3" t="s">
        <v>15</v>
      </c>
    </row>
    <row r="12" spans="1:8">
      <c r="A12" s="3" t="s">
        <v>34</v>
      </c>
      <c r="B12" s="3">
        <v>2024</v>
      </c>
      <c r="C12" s="3" t="s">
        <v>12</v>
      </c>
      <c r="D12" s="7" t="s">
        <v>22</v>
      </c>
      <c r="E12" s="24">
        <v>2</v>
      </c>
      <c r="F12" s="4">
        <v>60.91</v>
      </c>
      <c r="G12" s="4">
        <f t="shared" si="0"/>
        <v>121.82</v>
      </c>
      <c r="H12" s="3" t="s">
        <v>15</v>
      </c>
    </row>
    <row r="13" spans="1:8">
      <c r="A13" s="3" t="s">
        <v>34</v>
      </c>
      <c r="B13" s="3">
        <v>2024</v>
      </c>
      <c r="C13" s="3" t="s">
        <v>12</v>
      </c>
      <c r="D13" s="7" t="s">
        <v>23</v>
      </c>
      <c r="E13" s="24">
        <v>2</v>
      </c>
      <c r="F13" s="4">
        <v>72.41</v>
      </c>
      <c r="G13" s="4">
        <f t="shared" si="0"/>
        <v>144.82</v>
      </c>
      <c r="H13" s="3" t="s">
        <v>15</v>
      </c>
    </row>
    <row r="14" spans="1:8">
      <c r="A14" s="3" t="s">
        <v>34</v>
      </c>
      <c r="B14" s="3">
        <v>2024</v>
      </c>
      <c r="C14" s="3" t="s">
        <v>12</v>
      </c>
      <c r="D14" s="7" t="s">
        <v>24</v>
      </c>
      <c r="E14" s="24">
        <v>2</v>
      </c>
      <c r="F14" s="4">
        <v>82.67</v>
      </c>
      <c r="G14" s="4">
        <f t="shared" si="0"/>
        <v>165.34</v>
      </c>
      <c r="H14" s="3" t="s">
        <v>15</v>
      </c>
    </row>
    <row r="15" spans="1:8">
      <c r="A15" s="3" t="s">
        <v>34</v>
      </c>
      <c r="B15" s="3">
        <v>2024</v>
      </c>
      <c r="C15" s="3" t="s">
        <v>28</v>
      </c>
      <c r="D15" s="6" t="s">
        <v>25</v>
      </c>
      <c r="E15" s="25">
        <v>1</v>
      </c>
      <c r="F15" s="4">
        <v>20.190000000000001</v>
      </c>
      <c r="G15" s="4">
        <f t="shared" si="0"/>
        <v>20.190000000000001</v>
      </c>
      <c r="H15" s="3" t="s">
        <v>29</v>
      </c>
    </row>
    <row r="16" spans="1:8">
      <c r="A16" s="3" t="s">
        <v>34</v>
      </c>
      <c r="B16" s="3">
        <v>2024</v>
      </c>
      <c r="C16" s="3" t="s">
        <v>28</v>
      </c>
      <c r="D16" s="6" t="s">
        <v>26</v>
      </c>
      <c r="E16" s="25">
        <v>3</v>
      </c>
      <c r="F16" s="4">
        <v>32.67</v>
      </c>
      <c r="G16" s="4">
        <f t="shared" si="0"/>
        <v>98.01</v>
      </c>
      <c r="H16" s="3" t="s">
        <v>29</v>
      </c>
    </row>
    <row r="17" spans="1:8">
      <c r="A17" s="3" t="s">
        <v>34</v>
      </c>
      <c r="B17" s="3">
        <v>2024</v>
      </c>
      <c r="C17" s="3" t="s">
        <v>28</v>
      </c>
      <c r="D17" s="6" t="s">
        <v>27</v>
      </c>
      <c r="E17" s="25">
        <v>6</v>
      </c>
      <c r="F17" s="4">
        <v>13.45</v>
      </c>
      <c r="G17" s="4">
        <f t="shared" si="0"/>
        <v>80.699999999999989</v>
      </c>
      <c r="H17" s="3" t="s">
        <v>29</v>
      </c>
    </row>
    <row r="18" spans="1:8">
      <c r="A18" s="3" t="s">
        <v>33</v>
      </c>
      <c r="B18" s="3">
        <v>2024</v>
      </c>
      <c r="C18" s="3" t="s">
        <v>7</v>
      </c>
      <c r="D18" s="2" t="s">
        <v>30</v>
      </c>
      <c r="E18" s="23">
        <v>3</v>
      </c>
      <c r="F18" s="4">
        <v>79.3</v>
      </c>
      <c r="G18" s="4">
        <f t="shared" si="0"/>
        <v>237.89999999999998</v>
      </c>
      <c r="H18" s="3" t="s">
        <v>32</v>
      </c>
    </row>
    <row r="19" spans="1:8">
      <c r="A19" s="3" t="s">
        <v>33</v>
      </c>
      <c r="B19" s="3">
        <v>2024</v>
      </c>
      <c r="C19" s="3" t="s">
        <v>7</v>
      </c>
      <c r="D19" s="2" t="s">
        <v>31</v>
      </c>
      <c r="E19" s="23">
        <v>5</v>
      </c>
      <c r="F19" s="4">
        <v>86.22</v>
      </c>
      <c r="G19" s="4">
        <f t="shared" si="0"/>
        <v>431.1</v>
      </c>
      <c r="H19" s="3" t="s">
        <v>32</v>
      </c>
    </row>
    <row r="20" spans="1:8">
      <c r="A20" s="3" t="s">
        <v>33</v>
      </c>
      <c r="B20" s="3">
        <v>2024</v>
      </c>
      <c r="C20" s="3" t="s">
        <v>7</v>
      </c>
      <c r="D20" s="2" t="s">
        <v>4</v>
      </c>
      <c r="E20" s="23">
        <v>4</v>
      </c>
      <c r="F20" s="4">
        <v>87.06</v>
      </c>
      <c r="G20" s="4">
        <f t="shared" si="0"/>
        <v>348.24</v>
      </c>
      <c r="H20" s="3" t="s">
        <v>35</v>
      </c>
    </row>
    <row r="21" spans="1:8">
      <c r="A21" s="3" t="s">
        <v>33</v>
      </c>
      <c r="B21" s="3">
        <v>2024</v>
      </c>
      <c r="C21" s="3" t="s">
        <v>7</v>
      </c>
      <c r="D21" s="2" t="s">
        <v>36</v>
      </c>
      <c r="E21" s="23">
        <v>1</v>
      </c>
      <c r="F21" s="4">
        <v>162.66999999999999</v>
      </c>
      <c r="G21" s="4">
        <f t="shared" si="0"/>
        <v>162.66999999999999</v>
      </c>
      <c r="H21" s="3" t="s">
        <v>8</v>
      </c>
    </row>
    <row r="22" spans="1:8">
      <c r="A22" s="3" t="s">
        <v>33</v>
      </c>
      <c r="B22" s="3">
        <v>2024</v>
      </c>
      <c r="C22" s="3" t="s">
        <v>12</v>
      </c>
      <c r="D22" s="7" t="s">
        <v>37</v>
      </c>
      <c r="E22" s="24">
        <v>4</v>
      </c>
      <c r="F22" s="4">
        <v>16.89</v>
      </c>
      <c r="G22" s="4">
        <f t="shared" si="0"/>
        <v>67.56</v>
      </c>
      <c r="H22" s="3" t="s">
        <v>15</v>
      </c>
    </row>
    <row r="23" spans="1:8">
      <c r="A23" s="3" t="s">
        <v>33</v>
      </c>
      <c r="B23" s="3">
        <v>2024</v>
      </c>
      <c r="C23" s="3" t="s">
        <v>12</v>
      </c>
      <c r="D23" s="7" t="s">
        <v>19</v>
      </c>
      <c r="E23" s="24">
        <v>6</v>
      </c>
      <c r="F23" s="4">
        <v>26.49</v>
      </c>
      <c r="G23" s="4">
        <f t="shared" si="0"/>
        <v>158.94</v>
      </c>
      <c r="H23" s="3" t="s">
        <v>15</v>
      </c>
    </row>
    <row r="24" spans="1:8">
      <c r="A24" s="3" t="s">
        <v>33</v>
      </c>
      <c r="B24" s="3">
        <v>2024</v>
      </c>
      <c r="C24" s="3" t="s">
        <v>12</v>
      </c>
      <c r="D24" s="7" t="s">
        <v>38</v>
      </c>
      <c r="E24" s="24">
        <v>4</v>
      </c>
      <c r="F24" s="4">
        <v>30.15</v>
      </c>
      <c r="G24" s="4">
        <f t="shared" si="0"/>
        <v>120.6</v>
      </c>
      <c r="H24" s="3" t="s">
        <v>15</v>
      </c>
    </row>
    <row r="25" spans="1:8">
      <c r="A25" s="3" t="s">
        <v>33</v>
      </c>
      <c r="B25" s="3">
        <v>2024</v>
      </c>
      <c r="C25" s="3" t="s">
        <v>12</v>
      </c>
      <c r="D25" s="7" t="s">
        <v>39</v>
      </c>
      <c r="E25" s="24">
        <v>1</v>
      </c>
      <c r="F25" s="4">
        <v>40.72</v>
      </c>
      <c r="G25" s="4">
        <f t="shared" si="0"/>
        <v>40.72</v>
      </c>
      <c r="H25" s="3" t="s">
        <v>15</v>
      </c>
    </row>
    <row r="26" spans="1:8">
      <c r="A26" s="3" t="s">
        <v>33</v>
      </c>
      <c r="B26" s="3">
        <v>2024</v>
      </c>
      <c r="C26" s="3" t="s">
        <v>12</v>
      </c>
      <c r="D26" s="7" t="s">
        <v>20</v>
      </c>
      <c r="E26" s="24">
        <v>3</v>
      </c>
      <c r="F26" s="4">
        <v>44.53</v>
      </c>
      <c r="G26" s="4">
        <f t="shared" si="0"/>
        <v>133.59</v>
      </c>
      <c r="H26" s="3" t="s">
        <v>15</v>
      </c>
    </row>
    <row r="27" spans="1:8">
      <c r="A27" s="3" t="s">
        <v>33</v>
      </c>
      <c r="B27" s="3">
        <v>2024</v>
      </c>
      <c r="C27" s="3" t="s">
        <v>12</v>
      </c>
      <c r="D27" s="7" t="s">
        <v>21</v>
      </c>
      <c r="E27" s="24">
        <v>5</v>
      </c>
      <c r="F27" s="4">
        <v>48.39</v>
      </c>
      <c r="G27" s="4">
        <f t="shared" si="0"/>
        <v>241.95</v>
      </c>
      <c r="H27" s="3" t="s">
        <v>15</v>
      </c>
    </row>
    <row r="28" spans="1:8">
      <c r="A28" s="3" t="s">
        <v>33</v>
      </c>
      <c r="B28" s="3">
        <v>2024</v>
      </c>
      <c r="C28" s="3" t="s">
        <v>12</v>
      </c>
      <c r="D28" s="7" t="s">
        <v>40</v>
      </c>
      <c r="E28" s="24">
        <v>2</v>
      </c>
      <c r="F28" s="4">
        <v>59.81</v>
      </c>
      <c r="G28" s="4">
        <f t="shared" si="0"/>
        <v>119.62</v>
      </c>
      <c r="H28" s="3" t="s">
        <v>15</v>
      </c>
    </row>
    <row r="29" spans="1:8">
      <c r="A29" s="3" t="s">
        <v>33</v>
      </c>
      <c r="B29" s="3">
        <v>2024</v>
      </c>
      <c r="C29" s="3" t="s">
        <v>12</v>
      </c>
      <c r="D29" s="7" t="s">
        <v>41</v>
      </c>
      <c r="E29" s="24">
        <v>4</v>
      </c>
      <c r="F29" s="4">
        <v>52.51</v>
      </c>
      <c r="G29" s="4">
        <f t="shared" si="0"/>
        <v>210.04</v>
      </c>
      <c r="H29" s="3" t="s">
        <v>15</v>
      </c>
    </row>
    <row r="30" spans="1:8">
      <c r="A30" s="3" t="s">
        <v>33</v>
      </c>
      <c r="B30" s="3">
        <v>2024</v>
      </c>
      <c r="C30" s="3" t="s">
        <v>12</v>
      </c>
      <c r="D30" s="7" t="s">
        <v>22</v>
      </c>
      <c r="E30" s="24">
        <v>1</v>
      </c>
      <c r="F30" s="4">
        <v>60.91</v>
      </c>
      <c r="G30" s="4">
        <f t="shared" si="0"/>
        <v>60.91</v>
      </c>
      <c r="H30" s="3" t="s">
        <v>15</v>
      </c>
    </row>
    <row r="31" spans="1:8">
      <c r="A31" s="3" t="s">
        <v>33</v>
      </c>
      <c r="B31" s="3">
        <v>2024</v>
      </c>
      <c r="C31" s="3" t="s">
        <v>12</v>
      </c>
      <c r="D31" s="7" t="s">
        <v>42</v>
      </c>
      <c r="E31" s="24">
        <v>6</v>
      </c>
      <c r="F31" s="4">
        <v>56.81</v>
      </c>
      <c r="G31" s="4">
        <f t="shared" si="0"/>
        <v>340.86</v>
      </c>
      <c r="H31" s="3" t="s">
        <v>43</v>
      </c>
    </row>
    <row r="32" spans="1:8">
      <c r="A32" s="3" t="s">
        <v>33</v>
      </c>
      <c r="B32" s="3">
        <v>2024</v>
      </c>
      <c r="C32" s="3" t="s">
        <v>28</v>
      </c>
      <c r="D32" s="6" t="s">
        <v>44</v>
      </c>
      <c r="E32" s="25">
        <v>3</v>
      </c>
      <c r="F32" s="4">
        <v>20.29</v>
      </c>
      <c r="G32" s="4">
        <f t="shared" si="0"/>
        <v>60.87</v>
      </c>
      <c r="H32" s="3" t="s">
        <v>29</v>
      </c>
    </row>
    <row r="33" spans="1:8">
      <c r="A33" s="3" t="s">
        <v>33</v>
      </c>
      <c r="B33" s="3">
        <v>2024</v>
      </c>
      <c r="C33" s="3" t="s">
        <v>28</v>
      </c>
      <c r="D33" s="6" t="s">
        <v>45</v>
      </c>
      <c r="E33" s="25">
        <v>9</v>
      </c>
      <c r="F33" s="4">
        <v>7.11</v>
      </c>
      <c r="G33" s="4">
        <f t="shared" si="0"/>
        <v>63.99</v>
      </c>
      <c r="H33" s="3" t="s">
        <v>29</v>
      </c>
    </row>
    <row r="34" spans="1:8">
      <c r="A34" s="3" t="s">
        <v>33</v>
      </c>
      <c r="B34" s="3">
        <v>2024</v>
      </c>
      <c r="C34" s="3" t="s">
        <v>28</v>
      </c>
      <c r="D34" s="6" t="s">
        <v>27</v>
      </c>
      <c r="E34" s="25">
        <v>4</v>
      </c>
      <c r="F34" s="4">
        <v>13.45</v>
      </c>
      <c r="G34" s="4">
        <f t="shared" si="0"/>
        <v>53.8</v>
      </c>
      <c r="H34" s="3" t="s">
        <v>29</v>
      </c>
    </row>
    <row r="35" spans="1:8">
      <c r="A35" s="3" t="s">
        <v>47</v>
      </c>
      <c r="B35" s="3">
        <v>2024</v>
      </c>
      <c r="C35" s="3" t="s">
        <v>7</v>
      </c>
      <c r="D35" s="2" t="s">
        <v>3</v>
      </c>
      <c r="E35" s="23">
        <v>3</v>
      </c>
      <c r="F35" s="4">
        <v>129.29</v>
      </c>
      <c r="G35" s="4">
        <f t="shared" si="0"/>
        <v>387.87</v>
      </c>
      <c r="H35" s="3" t="s">
        <v>8</v>
      </c>
    </row>
    <row r="36" spans="1:8">
      <c r="A36" s="3" t="s">
        <v>47</v>
      </c>
      <c r="B36" s="3">
        <v>2024</v>
      </c>
      <c r="C36" s="3" t="s">
        <v>7</v>
      </c>
      <c r="D36" s="2" t="s">
        <v>36</v>
      </c>
      <c r="E36" s="23">
        <v>4</v>
      </c>
      <c r="F36" s="4">
        <v>162.66999999999999</v>
      </c>
      <c r="G36" s="4">
        <f t="shared" si="0"/>
        <v>650.67999999999995</v>
      </c>
      <c r="H36" s="3" t="s">
        <v>8</v>
      </c>
    </row>
    <row r="37" spans="1:8">
      <c r="A37" s="3" t="s">
        <v>47</v>
      </c>
      <c r="B37" s="3">
        <v>2024</v>
      </c>
      <c r="C37" s="3" t="s">
        <v>7</v>
      </c>
      <c r="D37" s="18" t="s">
        <v>46</v>
      </c>
      <c r="E37" s="23">
        <v>5</v>
      </c>
      <c r="F37" s="4">
        <v>88.66</v>
      </c>
      <c r="G37" s="4">
        <f t="shared" si="0"/>
        <v>443.29999999999995</v>
      </c>
      <c r="H37" s="3" t="s">
        <v>8</v>
      </c>
    </row>
    <row r="38" spans="1:8">
      <c r="A38" s="3" t="s">
        <v>47</v>
      </c>
      <c r="B38" s="3">
        <v>2024</v>
      </c>
      <c r="C38" s="3" t="s">
        <v>7</v>
      </c>
      <c r="D38" s="2" t="s">
        <v>48</v>
      </c>
      <c r="E38" s="23">
        <v>2</v>
      </c>
      <c r="F38" s="4">
        <v>43.55</v>
      </c>
      <c r="G38" s="4">
        <f t="shared" si="0"/>
        <v>87.1</v>
      </c>
      <c r="H38" s="3" t="s">
        <v>10</v>
      </c>
    </row>
    <row r="39" spans="1:8">
      <c r="A39" s="3" t="s">
        <v>47</v>
      </c>
      <c r="B39" s="3">
        <v>2024</v>
      </c>
      <c r="C39" s="3" t="s">
        <v>12</v>
      </c>
      <c r="D39" s="7" t="s">
        <v>14</v>
      </c>
      <c r="E39" s="24">
        <v>3</v>
      </c>
      <c r="F39" s="4">
        <v>47.43</v>
      </c>
      <c r="G39" s="4">
        <f t="shared" si="0"/>
        <v>142.29</v>
      </c>
      <c r="H39" s="3" t="s">
        <v>15</v>
      </c>
    </row>
    <row r="40" spans="1:8">
      <c r="A40" s="3" t="s">
        <v>47</v>
      </c>
      <c r="B40" s="3">
        <v>2024</v>
      </c>
      <c r="C40" s="3" t="s">
        <v>12</v>
      </c>
      <c r="D40" s="7" t="s">
        <v>20</v>
      </c>
      <c r="E40" s="24">
        <v>4</v>
      </c>
      <c r="F40" s="4">
        <v>44.53</v>
      </c>
      <c r="G40" s="4">
        <f t="shared" si="0"/>
        <v>178.12</v>
      </c>
      <c r="H40" s="3" t="s">
        <v>15</v>
      </c>
    </row>
    <row r="41" spans="1:8">
      <c r="A41" s="3" t="s">
        <v>47</v>
      </c>
      <c r="B41" s="3">
        <v>2024</v>
      </c>
      <c r="C41" s="3" t="s">
        <v>12</v>
      </c>
      <c r="D41" s="7" t="s">
        <v>21</v>
      </c>
      <c r="E41" s="24">
        <v>7</v>
      </c>
      <c r="F41" s="4">
        <v>48.39</v>
      </c>
      <c r="G41" s="4">
        <f t="shared" si="0"/>
        <v>338.73</v>
      </c>
      <c r="H41" s="3" t="s">
        <v>15</v>
      </c>
    </row>
    <row r="42" spans="1:8">
      <c r="A42" s="3" t="s">
        <v>47</v>
      </c>
      <c r="B42" s="3">
        <v>2024</v>
      </c>
      <c r="C42" s="3" t="s">
        <v>12</v>
      </c>
      <c r="D42" s="7" t="s">
        <v>22</v>
      </c>
      <c r="E42" s="24">
        <v>2</v>
      </c>
      <c r="F42" s="4">
        <v>60.91</v>
      </c>
      <c r="G42" s="4">
        <f t="shared" si="0"/>
        <v>121.82</v>
      </c>
      <c r="H42" s="3" t="s">
        <v>15</v>
      </c>
    </row>
    <row r="43" spans="1:8">
      <c r="A43" s="3" t="s">
        <v>47</v>
      </c>
      <c r="B43" s="3">
        <v>2024</v>
      </c>
      <c r="C43" s="3" t="s">
        <v>12</v>
      </c>
      <c r="D43" s="7" t="s">
        <v>49</v>
      </c>
      <c r="E43" s="24">
        <v>2</v>
      </c>
      <c r="F43" s="4">
        <v>83.14</v>
      </c>
      <c r="G43" s="4">
        <f t="shared" si="0"/>
        <v>166.28</v>
      </c>
      <c r="H43" s="3" t="s">
        <v>15</v>
      </c>
    </row>
    <row r="44" spans="1:8">
      <c r="A44" s="3" t="s">
        <v>47</v>
      </c>
      <c r="B44" s="3">
        <v>2024</v>
      </c>
      <c r="C44" s="3" t="s">
        <v>28</v>
      </c>
      <c r="D44" s="6" t="s">
        <v>50</v>
      </c>
      <c r="E44" s="25">
        <v>5</v>
      </c>
      <c r="F44" s="4">
        <v>12.9</v>
      </c>
      <c r="G44" s="4">
        <f t="shared" si="0"/>
        <v>64.5</v>
      </c>
      <c r="H44" s="3" t="s">
        <v>29</v>
      </c>
    </row>
    <row r="45" spans="1:8">
      <c r="A45" s="3" t="s">
        <v>47</v>
      </c>
      <c r="B45" s="3">
        <v>2024</v>
      </c>
      <c r="C45" s="3" t="s">
        <v>28</v>
      </c>
      <c r="D45" s="6" t="s">
        <v>27</v>
      </c>
      <c r="E45" s="25">
        <v>5</v>
      </c>
      <c r="F45" s="4">
        <v>13.45</v>
      </c>
      <c r="G45" s="4">
        <f t="shared" si="0"/>
        <v>67.25</v>
      </c>
      <c r="H45" s="3" t="s">
        <v>29</v>
      </c>
    </row>
    <row r="46" spans="1:8">
      <c r="A46" s="3" t="s">
        <v>55</v>
      </c>
      <c r="B46" s="3">
        <v>2024</v>
      </c>
      <c r="C46" s="3" t="s">
        <v>7</v>
      </c>
      <c r="D46" s="2" t="s">
        <v>56</v>
      </c>
      <c r="E46" s="23">
        <v>3</v>
      </c>
      <c r="F46" s="4">
        <v>296.25</v>
      </c>
      <c r="G46" s="4">
        <f t="shared" si="0"/>
        <v>888.75</v>
      </c>
      <c r="H46" s="3" t="s">
        <v>8</v>
      </c>
    </row>
    <row r="47" spans="1:8">
      <c r="A47" s="3" t="s">
        <v>55</v>
      </c>
      <c r="B47" s="3">
        <v>2024</v>
      </c>
      <c r="C47" s="3" t="s">
        <v>7</v>
      </c>
      <c r="D47" s="2" t="s">
        <v>36</v>
      </c>
      <c r="E47" s="23">
        <v>2</v>
      </c>
      <c r="F47" s="4">
        <v>162.66999999999999</v>
      </c>
      <c r="G47" s="4">
        <f t="shared" si="0"/>
        <v>325.33999999999997</v>
      </c>
      <c r="H47" s="3" t="s">
        <v>8</v>
      </c>
    </row>
    <row r="48" spans="1:8">
      <c r="A48" s="3" t="s">
        <v>55</v>
      </c>
      <c r="B48" s="3">
        <v>2024</v>
      </c>
      <c r="C48" s="3" t="s">
        <v>7</v>
      </c>
      <c r="D48" s="2" t="s">
        <v>57</v>
      </c>
      <c r="E48" s="23">
        <v>2</v>
      </c>
      <c r="F48" s="4">
        <v>399.35</v>
      </c>
      <c r="G48" s="4">
        <f t="shared" si="0"/>
        <v>798.7</v>
      </c>
      <c r="H48" s="3" t="s">
        <v>8</v>
      </c>
    </row>
    <row r="49" spans="1:8">
      <c r="A49" s="3" t="s">
        <v>55</v>
      </c>
      <c r="B49" s="3">
        <v>2024</v>
      </c>
      <c r="C49" s="3" t="s">
        <v>7</v>
      </c>
      <c r="D49" s="18" t="s">
        <v>46</v>
      </c>
      <c r="E49" s="23">
        <v>8</v>
      </c>
      <c r="F49" s="4">
        <v>88.66</v>
      </c>
      <c r="G49" s="4">
        <f t="shared" si="0"/>
        <v>709.28</v>
      </c>
      <c r="H49" s="3" t="s">
        <v>16</v>
      </c>
    </row>
    <row r="50" spans="1:8">
      <c r="A50" s="3" t="s">
        <v>55</v>
      </c>
      <c r="B50" s="3">
        <v>2024</v>
      </c>
      <c r="C50" s="3" t="s">
        <v>7</v>
      </c>
      <c r="D50" s="2" t="s">
        <v>4</v>
      </c>
      <c r="E50" s="23">
        <v>2</v>
      </c>
      <c r="F50" s="4">
        <v>87.06</v>
      </c>
      <c r="G50" s="4">
        <f t="shared" si="0"/>
        <v>174.12</v>
      </c>
      <c r="H50" s="3" t="s">
        <v>35</v>
      </c>
    </row>
    <row r="51" spans="1:8">
      <c r="A51" s="3" t="s">
        <v>55</v>
      </c>
      <c r="B51" s="3">
        <v>2024</v>
      </c>
      <c r="C51" s="3" t="s">
        <v>7</v>
      </c>
      <c r="D51" s="2" t="s">
        <v>30</v>
      </c>
      <c r="E51" s="23">
        <v>2</v>
      </c>
      <c r="F51" s="4">
        <v>79.3</v>
      </c>
      <c r="G51" s="4">
        <f t="shared" si="0"/>
        <v>158.6</v>
      </c>
      <c r="H51" s="3" t="s">
        <v>32</v>
      </c>
    </row>
    <row r="52" spans="1:8">
      <c r="A52" s="3" t="s">
        <v>55</v>
      </c>
      <c r="B52" s="3">
        <v>2024</v>
      </c>
      <c r="C52" s="3" t="s">
        <v>7</v>
      </c>
      <c r="D52" s="2" t="s">
        <v>31</v>
      </c>
      <c r="E52" s="23">
        <v>21</v>
      </c>
      <c r="F52" s="4">
        <v>86.22</v>
      </c>
      <c r="G52" s="4">
        <f t="shared" si="0"/>
        <v>1810.62</v>
      </c>
      <c r="H52" s="3" t="s">
        <v>32</v>
      </c>
    </row>
    <row r="53" spans="1:8">
      <c r="A53" s="3" t="s">
        <v>55</v>
      </c>
      <c r="B53" s="3">
        <v>2024</v>
      </c>
      <c r="C53" s="3" t="s">
        <v>12</v>
      </c>
      <c r="D53" s="7" t="s">
        <v>11</v>
      </c>
      <c r="E53" s="24">
        <v>16</v>
      </c>
      <c r="F53" s="4">
        <v>33.33</v>
      </c>
      <c r="G53" s="4">
        <f t="shared" si="0"/>
        <v>533.28</v>
      </c>
      <c r="H53" s="3" t="s">
        <v>15</v>
      </c>
    </row>
    <row r="54" spans="1:8">
      <c r="A54" s="3" t="s">
        <v>55</v>
      </c>
      <c r="B54" s="3">
        <v>2024</v>
      </c>
      <c r="C54" s="3" t="s">
        <v>12</v>
      </c>
      <c r="D54" s="7" t="s">
        <v>39</v>
      </c>
      <c r="E54" s="24">
        <v>3</v>
      </c>
      <c r="F54" s="4">
        <v>40.72</v>
      </c>
      <c r="G54" s="4">
        <f t="shared" si="0"/>
        <v>122.16</v>
      </c>
      <c r="H54" s="3" t="s">
        <v>15</v>
      </c>
    </row>
    <row r="55" spans="1:8">
      <c r="A55" s="3" t="s">
        <v>55</v>
      </c>
      <c r="B55" s="3">
        <v>2024</v>
      </c>
      <c r="C55" s="3" t="s">
        <v>12</v>
      </c>
      <c r="D55" s="7" t="s">
        <v>20</v>
      </c>
      <c r="E55" s="24">
        <v>8</v>
      </c>
      <c r="F55" s="4">
        <v>44.53</v>
      </c>
      <c r="G55" s="4">
        <f t="shared" si="0"/>
        <v>356.24</v>
      </c>
      <c r="H55" s="3" t="s">
        <v>15</v>
      </c>
    </row>
    <row r="56" spans="1:8">
      <c r="A56" s="3" t="s">
        <v>55</v>
      </c>
      <c r="B56" s="3">
        <v>2024</v>
      </c>
      <c r="C56" s="3" t="s">
        <v>12</v>
      </c>
      <c r="D56" s="7" t="s">
        <v>21</v>
      </c>
      <c r="E56" s="24">
        <v>5</v>
      </c>
      <c r="F56" s="4">
        <v>48.39</v>
      </c>
      <c r="G56" s="4">
        <f t="shared" si="0"/>
        <v>241.95</v>
      </c>
      <c r="H56" s="3" t="s">
        <v>15</v>
      </c>
    </row>
    <row r="57" spans="1:8">
      <c r="A57" s="3" t="s">
        <v>55</v>
      </c>
      <c r="B57" s="3">
        <v>2024</v>
      </c>
      <c r="C57" s="3" t="s">
        <v>12</v>
      </c>
      <c r="D57" s="7" t="s">
        <v>22</v>
      </c>
      <c r="E57" s="24">
        <v>1</v>
      </c>
      <c r="F57" s="4">
        <v>60.91</v>
      </c>
      <c r="G57" s="4">
        <f t="shared" si="0"/>
        <v>60.91</v>
      </c>
      <c r="H57" s="3" t="s">
        <v>15</v>
      </c>
    </row>
    <row r="58" spans="1:8">
      <c r="A58" s="3" t="s">
        <v>55</v>
      </c>
      <c r="B58" s="3">
        <v>2024</v>
      </c>
      <c r="C58" s="3" t="s">
        <v>12</v>
      </c>
      <c r="D58" s="7" t="s">
        <v>24</v>
      </c>
      <c r="E58" s="24">
        <v>1</v>
      </c>
      <c r="F58" s="4">
        <v>82.67</v>
      </c>
      <c r="G58" s="4">
        <f t="shared" si="0"/>
        <v>82.67</v>
      </c>
      <c r="H58" s="3" t="s">
        <v>15</v>
      </c>
    </row>
    <row r="59" spans="1:8">
      <c r="A59" s="3" t="s">
        <v>55</v>
      </c>
      <c r="B59" s="3">
        <v>2024</v>
      </c>
      <c r="C59" s="3" t="s">
        <v>12</v>
      </c>
      <c r="D59" s="7" t="s">
        <v>14</v>
      </c>
      <c r="E59" s="24">
        <v>8</v>
      </c>
      <c r="F59" s="4">
        <v>47.43</v>
      </c>
      <c r="G59" s="4">
        <f t="shared" si="0"/>
        <v>379.44</v>
      </c>
      <c r="H59" s="3" t="s">
        <v>13</v>
      </c>
    </row>
    <row r="60" spans="1:8">
      <c r="A60" s="3" t="s">
        <v>55</v>
      </c>
      <c r="B60" s="3">
        <v>2024</v>
      </c>
      <c r="C60" s="3" t="s">
        <v>28</v>
      </c>
      <c r="D60" s="7" t="s">
        <v>58</v>
      </c>
      <c r="E60" s="24">
        <v>26</v>
      </c>
      <c r="F60" s="4">
        <v>14</v>
      </c>
      <c r="G60" s="4">
        <f t="shared" si="0"/>
        <v>364</v>
      </c>
      <c r="H60" s="3" t="s">
        <v>29</v>
      </c>
    </row>
    <row r="61" spans="1:8">
      <c r="A61" s="3" t="s">
        <v>55</v>
      </c>
      <c r="B61" s="3">
        <v>2024</v>
      </c>
      <c r="C61" s="3" t="s">
        <v>28</v>
      </c>
      <c r="D61" s="7" t="s">
        <v>59</v>
      </c>
      <c r="E61" s="24">
        <v>1</v>
      </c>
      <c r="F61" s="4">
        <v>7.17</v>
      </c>
      <c r="G61" s="4">
        <f t="shared" si="0"/>
        <v>7.17</v>
      </c>
      <c r="H61" s="3" t="s">
        <v>29</v>
      </c>
    </row>
    <row r="62" spans="1:8">
      <c r="A62" s="3" t="s">
        <v>55</v>
      </c>
      <c r="B62" s="3">
        <v>2024</v>
      </c>
      <c r="C62" s="3" t="s">
        <v>28</v>
      </c>
      <c r="D62" s="7" t="s">
        <v>60</v>
      </c>
      <c r="E62" s="24">
        <v>1</v>
      </c>
      <c r="F62" s="4">
        <v>21.22</v>
      </c>
      <c r="G62" s="4">
        <f t="shared" si="0"/>
        <v>21.22</v>
      </c>
      <c r="H62" s="3" t="s">
        <v>29</v>
      </c>
    </row>
    <row r="63" spans="1:8">
      <c r="A63" s="3" t="s">
        <v>55</v>
      </c>
      <c r="B63" s="3">
        <v>2024</v>
      </c>
      <c r="C63" s="3" t="s">
        <v>28</v>
      </c>
      <c r="D63" s="7" t="s">
        <v>45</v>
      </c>
      <c r="E63" s="24">
        <v>6</v>
      </c>
      <c r="F63" s="4">
        <v>7.11</v>
      </c>
      <c r="G63" s="4">
        <f t="shared" si="0"/>
        <v>42.660000000000004</v>
      </c>
      <c r="H63" s="3" t="s">
        <v>29</v>
      </c>
    </row>
    <row r="64" spans="1:8">
      <c r="A64" s="3" t="s">
        <v>55</v>
      </c>
      <c r="B64" s="3">
        <v>2024</v>
      </c>
      <c r="C64" s="3" t="s">
        <v>28</v>
      </c>
      <c r="D64" s="7" t="s">
        <v>27</v>
      </c>
      <c r="E64" s="24">
        <v>4</v>
      </c>
      <c r="F64" s="4">
        <v>13.45</v>
      </c>
      <c r="G64" s="4">
        <f t="shared" si="0"/>
        <v>53.8</v>
      </c>
      <c r="H64" s="3" t="s">
        <v>29</v>
      </c>
    </row>
    <row r="65" spans="1:8">
      <c r="A65" s="3" t="s">
        <v>61</v>
      </c>
      <c r="B65" s="3">
        <v>2024</v>
      </c>
      <c r="C65" s="3" t="s">
        <v>7</v>
      </c>
      <c r="D65" s="2" t="s">
        <v>56</v>
      </c>
      <c r="E65" s="23">
        <v>1</v>
      </c>
      <c r="F65" s="4">
        <v>296.25</v>
      </c>
      <c r="G65" s="4">
        <f t="shared" si="0"/>
        <v>296.25</v>
      </c>
      <c r="H65" s="3" t="s">
        <v>8</v>
      </c>
    </row>
    <row r="66" spans="1:8">
      <c r="A66" s="3" t="s">
        <v>61</v>
      </c>
      <c r="B66" s="3">
        <v>2024</v>
      </c>
      <c r="C66" s="3" t="s">
        <v>7</v>
      </c>
      <c r="D66" s="18" t="s">
        <v>46</v>
      </c>
      <c r="E66" s="23">
        <v>20</v>
      </c>
      <c r="F66" s="4">
        <v>88.66</v>
      </c>
      <c r="G66" s="4">
        <f t="shared" si="0"/>
        <v>1773.1999999999998</v>
      </c>
      <c r="H66" s="3" t="s">
        <v>8</v>
      </c>
    </row>
    <row r="67" spans="1:8">
      <c r="A67" s="3" t="s">
        <v>61</v>
      </c>
      <c r="B67" s="3">
        <v>2024</v>
      </c>
      <c r="C67" s="3" t="s">
        <v>7</v>
      </c>
      <c r="D67" s="2" t="s">
        <v>4</v>
      </c>
      <c r="E67" s="23">
        <v>6</v>
      </c>
      <c r="F67" s="4">
        <v>87.06</v>
      </c>
      <c r="G67" s="4">
        <f t="shared" ref="G67:G130" si="1">E67*F67</f>
        <v>522.36</v>
      </c>
      <c r="H67" s="3" t="s">
        <v>35</v>
      </c>
    </row>
    <row r="68" spans="1:8">
      <c r="A68" s="3" t="s">
        <v>61</v>
      </c>
      <c r="B68" s="3">
        <v>2024</v>
      </c>
      <c r="C68" s="3" t="s">
        <v>7</v>
      </c>
      <c r="D68" s="2" t="s">
        <v>9</v>
      </c>
      <c r="E68" s="23">
        <v>3</v>
      </c>
      <c r="F68" s="4">
        <v>96.65</v>
      </c>
      <c r="G68" s="4">
        <f t="shared" si="1"/>
        <v>289.95000000000005</v>
      </c>
      <c r="H68" s="3" t="s">
        <v>10</v>
      </c>
    </row>
    <row r="69" spans="1:8">
      <c r="A69" s="3" t="s">
        <v>61</v>
      </c>
      <c r="B69" s="3">
        <v>2024</v>
      </c>
      <c r="C69" s="3" t="s">
        <v>7</v>
      </c>
      <c r="D69" s="2" t="s">
        <v>31</v>
      </c>
      <c r="E69" s="23">
        <v>2</v>
      </c>
      <c r="F69" s="4">
        <v>86.22</v>
      </c>
      <c r="G69" s="4">
        <f t="shared" si="1"/>
        <v>172.44</v>
      </c>
      <c r="H69" s="3" t="s">
        <v>32</v>
      </c>
    </row>
    <row r="70" spans="1:8">
      <c r="A70" s="3" t="s">
        <v>61</v>
      </c>
      <c r="B70" s="3">
        <v>2024</v>
      </c>
      <c r="C70" s="3" t="s">
        <v>12</v>
      </c>
      <c r="D70" s="7" t="s">
        <v>11</v>
      </c>
      <c r="E70" s="24">
        <v>6</v>
      </c>
      <c r="F70" s="4">
        <v>33.33</v>
      </c>
      <c r="G70" s="4">
        <f t="shared" si="1"/>
        <v>199.98</v>
      </c>
      <c r="H70" s="3" t="s">
        <v>15</v>
      </c>
    </row>
    <row r="71" spans="1:8">
      <c r="A71" s="3" t="s">
        <v>61</v>
      </c>
      <c r="B71" s="3">
        <v>2024</v>
      </c>
      <c r="C71" s="3" t="s">
        <v>12</v>
      </c>
      <c r="D71" s="7" t="s">
        <v>18</v>
      </c>
      <c r="E71" s="24">
        <v>4</v>
      </c>
      <c r="F71" s="4">
        <v>19.14</v>
      </c>
      <c r="G71" s="4">
        <f t="shared" si="1"/>
        <v>76.56</v>
      </c>
      <c r="H71" s="3" t="s">
        <v>15</v>
      </c>
    </row>
    <row r="72" spans="1:8">
      <c r="A72" s="3" t="s">
        <v>61</v>
      </c>
      <c r="B72" s="3">
        <v>2024</v>
      </c>
      <c r="C72" s="3" t="s">
        <v>12</v>
      </c>
      <c r="D72" s="7" t="s">
        <v>19</v>
      </c>
      <c r="E72" s="24">
        <v>5</v>
      </c>
      <c r="F72" s="4">
        <v>26.49</v>
      </c>
      <c r="G72" s="4">
        <f t="shared" si="1"/>
        <v>132.44999999999999</v>
      </c>
      <c r="H72" s="3" t="s">
        <v>15</v>
      </c>
    </row>
    <row r="73" spans="1:8">
      <c r="A73" s="3" t="s">
        <v>61</v>
      </c>
      <c r="B73" s="3">
        <v>2024</v>
      </c>
      <c r="C73" s="3" t="s">
        <v>12</v>
      </c>
      <c r="D73" s="7" t="s">
        <v>20</v>
      </c>
      <c r="E73" s="24">
        <v>5</v>
      </c>
      <c r="F73" s="4">
        <v>44.53</v>
      </c>
      <c r="G73" s="4">
        <f t="shared" si="1"/>
        <v>222.65</v>
      </c>
      <c r="H73" s="3" t="s">
        <v>15</v>
      </c>
    </row>
    <row r="74" spans="1:8">
      <c r="A74" s="3" t="s">
        <v>61</v>
      </c>
      <c r="B74" s="3">
        <v>2024</v>
      </c>
      <c r="C74" s="3" t="s">
        <v>12</v>
      </c>
      <c r="D74" s="7" t="s">
        <v>21</v>
      </c>
      <c r="E74" s="24">
        <v>8</v>
      </c>
      <c r="F74" s="4">
        <v>48.39</v>
      </c>
      <c r="G74" s="4">
        <f t="shared" si="1"/>
        <v>387.12</v>
      </c>
      <c r="H74" s="3" t="s">
        <v>15</v>
      </c>
    </row>
    <row r="75" spans="1:8">
      <c r="A75" s="3" t="s">
        <v>61</v>
      </c>
      <c r="B75" s="3">
        <v>2024</v>
      </c>
      <c r="C75" s="3" t="s">
        <v>12</v>
      </c>
      <c r="D75" s="7" t="s">
        <v>62</v>
      </c>
      <c r="E75" s="24">
        <v>2</v>
      </c>
      <c r="F75" s="4">
        <v>35.869999999999997</v>
      </c>
      <c r="G75" s="4">
        <f t="shared" si="1"/>
        <v>71.739999999999995</v>
      </c>
      <c r="H75" s="3" t="s">
        <v>15</v>
      </c>
    </row>
    <row r="76" spans="1:8">
      <c r="A76" s="3" t="s">
        <v>61</v>
      </c>
      <c r="B76" s="3">
        <v>2024</v>
      </c>
      <c r="C76" s="3" t="s">
        <v>12</v>
      </c>
      <c r="D76" s="7" t="s">
        <v>22</v>
      </c>
      <c r="E76" s="24">
        <v>2</v>
      </c>
      <c r="F76" s="4">
        <v>60.91</v>
      </c>
      <c r="G76" s="4">
        <f t="shared" si="1"/>
        <v>121.82</v>
      </c>
      <c r="H76" s="3" t="s">
        <v>15</v>
      </c>
    </row>
    <row r="77" spans="1:8">
      <c r="A77" s="3" t="s">
        <v>61</v>
      </c>
      <c r="B77" s="3">
        <v>2024</v>
      </c>
      <c r="C77" s="3" t="s">
        <v>12</v>
      </c>
      <c r="D77" s="7" t="s">
        <v>24</v>
      </c>
      <c r="E77" s="24">
        <v>1</v>
      </c>
      <c r="F77" s="4">
        <v>82.67</v>
      </c>
      <c r="G77" s="4">
        <f t="shared" si="1"/>
        <v>82.67</v>
      </c>
      <c r="H77" s="3" t="s">
        <v>15</v>
      </c>
    </row>
    <row r="78" spans="1:8" ht="15.75" thickBot="1">
      <c r="A78" s="3" t="s">
        <v>61</v>
      </c>
      <c r="B78" s="3">
        <v>2024</v>
      </c>
      <c r="C78" s="3" t="s">
        <v>12</v>
      </c>
      <c r="D78" s="19" t="s">
        <v>63</v>
      </c>
      <c r="E78" s="12">
        <v>8</v>
      </c>
      <c r="F78" s="4">
        <v>74.099999999999994</v>
      </c>
      <c r="G78" s="4">
        <f t="shared" si="1"/>
        <v>592.79999999999995</v>
      </c>
      <c r="H78" s="3" t="s">
        <v>15</v>
      </c>
    </row>
    <row r="79" spans="1:8" ht="15.75" thickTop="1">
      <c r="A79" s="3" t="s">
        <v>61</v>
      </c>
      <c r="B79" s="3">
        <v>2024</v>
      </c>
      <c r="C79" s="3" t="s">
        <v>28</v>
      </c>
      <c r="D79" s="7" t="s">
        <v>27</v>
      </c>
      <c r="E79" s="24">
        <v>13</v>
      </c>
      <c r="F79" s="4">
        <v>13.45</v>
      </c>
      <c r="G79" s="4">
        <f t="shared" si="1"/>
        <v>174.85</v>
      </c>
      <c r="H79" s="3" t="s">
        <v>29</v>
      </c>
    </row>
    <row r="80" spans="1:8">
      <c r="A80" s="3" t="s">
        <v>64</v>
      </c>
      <c r="B80" s="3">
        <v>2024</v>
      </c>
      <c r="C80" s="3" t="s">
        <v>7</v>
      </c>
      <c r="D80" s="2" t="s">
        <v>9</v>
      </c>
      <c r="E80" s="23">
        <v>4</v>
      </c>
      <c r="F80" s="4">
        <v>96.65</v>
      </c>
      <c r="G80" s="4">
        <f t="shared" si="1"/>
        <v>386.6</v>
      </c>
      <c r="H80" s="3" t="s">
        <v>8</v>
      </c>
    </row>
    <row r="81" spans="1:8">
      <c r="A81" s="3" t="s">
        <v>64</v>
      </c>
      <c r="B81" s="3">
        <v>2024</v>
      </c>
      <c r="C81" s="3" t="s">
        <v>7</v>
      </c>
      <c r="D81" s="2" t="s">
        <v>4</v>
      </c>
      <c r="E81" s="23">
        <v>4</v>
      </c>
      <c r="F81" s="4">
        <v>87.06</v>
      </c>
      <c r="G81" s="4">
        <f t="shared" si="1"/>
        <v>348.24</v>
      </c>
      <c r="H81" s="3" t="s">
        <v>35</v>
      </c>
    </row>
    <row r="82" spans="1:8">
      <c r="A82" s="3" t="s">
        <v>64</v>
      </c>
      <c r="B82" s="3">
        <v>2024</v>
      </c>
      <c r="C82" s="3" t="s">
        <v>7</v>
      </c>
      <c r="D82" s="2" t="s">
        <v>31</v>
      </c>
      <c r="E82" s="23">
        <v>2</v>
      </c>
      <c r="F82" s="4">
        <v>86.22</v>
      </c>
      <c r="G82" s="4">
        <f t="shared" si="1"/>
        <v>172.44</v>
      </c>
      <c r="H82" s="3" t="s">
        <v>10</v>
      </c>
    </row>
    <row r="83" spans="1:8">
      <c r="A83" s="3" t="s">
        <v>64</v>
      </c>
      <c r="B83" s="3">
        <v>2024</v>
      </c>
      <c r="C83" s="3" t="s">
        <v>7</v>
      </c>
      <c r="D83" s="2" t="s">
        <v>65</v>
      </c>
      <c r="E83" s="23">
        <v>3</v>
      </c>
      <c r="F83" s="4">
        <v>37.1</v>
      </c>
      <c r="G83" s="4">
        <f t="shared" si="1"/>
        <v>111.30000000000001</v>
      </c>
      <c r="H83" s="3" t="s">
        <v>10</v>
      </c>
    </row>
    <row r="84" spans="1:8">
      <c r="A84" s="3" t="s">
        <v>64</v>
      </c>
      <c r="B84" s="3">
        <v>2024</v>
      </c>
      <c r="C84" s="3" t="s">
        <v>12</v>
      </c>
      <c r="D84" s="7" t="s">
        <v>14</v>
      </c>
      <c r="E84" s="24">
        <v>3</v>
      </c>
      <c r="F84" s="4">
        <v>47.43</v>
      </c>
      <c r="G84" s="4">
        <f t="shared" si="1"/>
        <v>142.29</v>
      </c>
      <c r="H84" s="3" t="s">
        <v>16</v>
      </c>
    </row>
    <row r="85" spans="1:8">
      <c r="A85" s="3" t="s">
        <v>64</v>
      </c>
      <c r="B85" s="3">
        <v>2024</v>
      </c>
      <c r="C85" s="3" t="s">
        <v>28</v>
      </c>
      <c r="D85" s="7" t="s">
        <v>58</v>
      </c>
      <c r="E85" s="24">
        <v>3</v>
      </c>
      <c r="F85" s="4">
        <v>14</v>
      </c>
      <c r="G85" s="4">
        <f t="shared" si="1"/>
        <v>42</v>
      </c>
      <c r="H85" s="3" t="s">
        <v>29</v>
      </c>
    </row>
    <row r="86" spans="1:8">
      <c r="A86" s="3" t="s">
        <v>64</v>
      </c>
      <c r="B86" s="3">
        <v>2024</v>
      </c>
      <c r="C86" s="3" t="s">
        <v>28</v>
      </c>
      <c r="D86" s="7" t="s">
        <v>59</v>
      </c>
      <c r="E86" s="24">
        <v>3</v>
      </c>
      <c r="F86" s="4">
        <v>7.17</v>
      </c>
      <c r="G86" s="4">
        <f t="shared" si="1"/>
        <v>21.509999999999998</v>
      </c>
      <c r="H86" s="3" t="s">
        <v>29</v>
      </c>
    </row>
    <row r="87" spans="1:8">
      <c r="A87" s="3" t="s">
        <v>64</v>
      </c>
      <c r="B87" s="3">
        <v>2024</v>
      </c>
      <c r="C87" s="3" t="s">
        <v>28</v>
      </c>
      <c r="D87" s="7" t="s">
        <v>66</v>
      </c>
      <c r="E87" s="24">
        <v>5</v>
      </c>
      <c r="F87" s="4">
        <v>26.71</v>
      </c>
      <c r="G87" s="4">
        <f t="shared" si="1"/>
        <v>133.55000000000001</v>
      </c>
      <c r="H87" s="3" t="s">
        <v>29</v>
      </c>
    </row>
    <row r="88" spans="1:8">
      <c r="A88" s="3" t="s">
        <v>67</v>
      </c>
      <c r="B88" s="3">
        <v>2024</v>
      </c>
      <c r="C88" s="3" t="s">
        <v>7</v>
      </c>
      <c r="D88" s="2" t="s">
        <v>36</v>
      </c>
      <c r="E88" s="23">
        <v>4</v>
      </c>
      <c r="F88" s="4">
        <v>162.66999999999999</v>
      </c>
      <c r="G88" s="4">
        <f t="shared" si="1"/>
        <v>650.67999999999995</v>
      </c>
      <c r="H88" s="3" t="s">
        <v>8</v>
      </c>
    </row>
    <row r="89" spans="1:8">
      <c r="A89" s="3" t="s">
        <v>67</v>
      </c>
      <c r="B89" s="3">
        <v>2024</v>
      </c>
      <c r="C89" s="3" t="s">
        <v>7</v>
      </c>
      <c r="D89" s="13" t="s">
        <v>68</v>
      </c>
      <c r="E89" s="26">
        <v>4</v>
      </c>
      <c r="F89" s="4">
        <v>30.61</v>
      </c>
      <c r="G89" s="4">
        <f t="shared" si="1"/>
        <v>122.44</v>
      </c>
      <c r="H89" s="3" t="s">
        <v>8</v>
      </c>
    </row>
    <row r="90" spans="1:8">
      <c r="A90" s="3" t="s">
        <v>67</v>
      </c>
      <c r="B90" s="3">
        <v>2024</v>
      </c>
      <c r="C90" s="3" t="s">
        <v>12</v>
      </c>
      <c r="D90" s="7" t="s">
        <v>69</v>
      </c>
      <c r="E90" s="24">
        <v>2</v>
      </c>
      <c r="F90" s="4">
        <v>31.11</v>
      </c>
      <c r="G90" s="4">
        <f t="shared" si="1"/>
        <v>62.22</v>
      </c>
      <c r="H90" s="3" t="s">
        <v>13</v>
      </c>
    </row>
    <row r="91" spans="1:8">
      <c r="A91" s="3" t="s">
        <v>67</v>
      </c>
      <c r="B91" s="3">
        <v>2024</v>
      </c>
      <c r="C91" s="3" t="s">
        <v>12</v>
      </c>
      <c r="D91" s="7" t="s">
        <v>14</v>
      </c>
      <c r="E91" s="24">
        <v>12</v>
      </c>
      <c r="F91" s="4">
        <v>47.43</v>
      </c>
      <c r="G91" s="4">
        <f t="shared" si="1"/>
        <v>569.16</v>
      </c>
      <c r="H91" s="3" t="s">
        <v>15</v>
      </c>
    </row>
    <row r="92" spans="1:8">
      <c r="A92" s="3" t="s">
        <v>67</v>
      </c>
      <c r="B92" s="3">
        <v>2024</v>
      </c>
      <c r="C92" s="3" t="s">
        <v>12</v>
      </c>
      <c r="D92" s="7" t="s">
        <v>11</v>
      </c>
      <c r="E92" s="24">
        <v>13</v>
      </c>
      <c r="F92" s="4">
        <v>33.33</v>
      </c>
      <c r="G92" s="4">
        <f t="shared" si="1"/>
        <v>433.28999999999996</v>
      </c>
      <c r="H92" s="3" t="s">
        <v>15</v>
      </c>
    </row>
    <row r="93" spans="1:8">
      <c r="A93" s="3" t="s">
        <v>67</v>
      </c>
      <c r="B93" s="3">
        <v>2024</v>
      </c>
      <c r="C93" s="3" t="s">
        <v>12</v>
      </c>
      <c r="D93" s="7" t="s">
        <v>38</v>
      </c>
      <c r="E93" s="24">
        <v>6</v>
      </c>
      <c r="F93" s="4">
        <v>30.15</v>
      </c>
      <c r="G93" s="4">
        <f t="shared" si="1"/>
        <v>180.89999999999998</v>
      </c>
      <c r="H93" s="3" t="s">
        <v>15</v>
      </c>
    </row>
    <row r="94" spans="1:8">
      <c r="A94" s="3" t="s">
        <v>67</v>
      </c>
      <c r="B94" s="3">
        <v>2024</v>
      </c>
      <c r="C94" s="3" t="s">
        <v>12</v>
      </c>
      <c r="D94" s="7" t="s">
        <v>70</v>
      </c>
      <c r="E94" s="24">
        <v>4</v>
      </c>
      <c r="F94" s="4">
        <v>49.43</v>
      </c>
      <c r="G94" s="4">
        <f t="shared" si="1"/>
        <v>197.72</v>
      </c>
      <c r="H94" s="3" t="s">
        <v>15</v>
      </c>
    </row>
    <row r="95" spans="1:8">
      <c r="A95" s="3" t="s">
        <v>67</v>
      </c>
      <c r="B95" s="3">
        <v>2024</v>
      </c>
      <c r="C95" s="3" t="s">
        <v>12</v>
      </c>
      <c r="D95" s="7" t="s">
        <v>40</v>
      </c>
      <c r="E95" s="24">
        <v>6</v>
      </c>
      <c r="F95" s="4">
        <v>59.81</v>
      </c>
      <c r="G95" s="4">
        <f t="shared" si="1"/>
        <v>358.86</v>
      </c>
      <c r="H95" s="3" t="s">
        <v>15</v>
      </c>
    </row>
    <row r="96" spans="1:8">
      <c r="A96" s="3" t="s">
        <v>67</v>
      </c>
      <c r="B96" s="3">
        <v>2024</v>
      </c>
      <c r="C96" s="3" t="s">
        <v>28</v>
      </c>
      <c r="D96" s="7" t="s">
        <v>27</v>
      </c>
      <c r="E96" s="24">
        <v>6</v>
      </c>
      <c r="F96" s="4">
        <v>13.45</v>
      </c>
      <c r="G96" s="4">
        <f t="shared" si="1"/>
        <v>80.699999999999989</v>
      </c>
      <c r="H96" s="3" t="s">
        <v>29</v>
      </c>
    </row>
    <row r="97" spans="1:8">
      <c r="A97" s="3" t="s">
        <v>67</v>
      </c>
      <c r="B97" s="3">
        <v>2024</v>
      </c>
      <c r="C97" s="3" t="s">
        <v>7</v>
      </c>
      <c r="D97" s="2" t="s">
        <v>71</v>
      </c>
      <c r="E97" s="23">
        <v>3</v>
      </c>
      <c r="F97" s="4">
        <v>58.68</v>
      </c>
      <c r="G97" s="4">
        <f t="shared" si="1"/>
        <v>176.04</v>
      </c>
      <c r="H97" s="3" t="s">
        <v>10</v>
      </c>
    </row>
    <row r="98" spans="1:8">
      <c r="A98" s="3" t="s">
        <v>67</v>
      </c>
      <c r="B98" s="3">
        <v>2024</v>
      </c>
      <c r="C98" s="3" t="s">
        <v>7</v>
      </c>
      <c r="D98" s="2" t="s">
        <v>72</v>
      </c>
      <c r="E98" s="23">
        <v>1</v>
      </c>
      <c r="F98" s="4">
        <v>78.3</v>
      </c>
      <c r="G98" s="4">
        <f t="shared" si="1"/>
        <v>78.3</v>
      </c>
      <c r="H98" s="3" t="s">
        <v>10</v>
      </c>
    </row>
    <row r="99" spans="1:8">
      <c r="A99" s="3" t="s">
        <v>67</v>
      </c>
      <c r="B99" s="3">
        <v>2024</v>
      </c>
      <c r="C99" s="3" t="s">
        <v>7</v>
      </c>
      <c r="D99" s="2" t="s">
        <v>31</v>
      </c>
      <c r="E99" s="23">
        <v>4</v>
      </c>
      <c r="F99" s="4">
        <v>86.22</v>
      </c>
      <c r="G99" s="4">
        <f t="shared" si="1"/>
        <v>344.88</v>
      </c>
      <c r="H99" s="3" t="s">
        <v>10</v>
      </c>
    </row>
    <row r="100" spans="1:8">
      <c r="A100" s="3" t="s">
        <v>75</v>
      </c>
      <c r="B100" s="3">
        <v>2024</v>
      </c>
      <c r="C100" s="3" t="s">
        <v>7</v>
      </c>
      <c r="D100" s="15" t="s">
        <v>71</v>
      </c>
      <c r="E100" s="27">
        <v>194</v>
      </c>
      <c r="F100" s="4">
        <v>58.68</v>
      </c>
      <c r="G100" s="4">
        <f t="shared" si="1"/>
        <v>11383.92</v>
      </c>
      <c r="H100" s="3" t="s">
        <v>8</v>
      </c>
    </row>
    <row r="101" spans="1:8">
      <c r="A101" s="3" t="s">
        <v>75</v>
      </c>
      <c r="B101" s="3">
        <v>2024</v>
      </c>
      <c r="C101" s="3" t="s">
        <v>7</v>
      </c>
      <c r="D101" s="15" t="s">
        <v>73</v>
      </c>
      <c r="E101" s="27">
        <v>3</v>
      </c>
      <c r="F101" s="4">
        <v>103.25</v>
      </c>
      <c r="G101" s="4">
        <f t="shared" si="1"/>
        <v>309.75</v>
      </c>
      <c r="H101" s="3" t="s">
        <v>8</v>
      </c>
    </row>
    <row r="102" spans="1:8">
      <c r="A102" s="3" t="s">
        <v>75</v>
      </c>
      <c r="B102" s="3">
        <v>2024</v>
      </c>
      <c r="C102" s="3" t="s">
        <v>7</v>
      </c>
      <c r="D102" s="15" t="s">
        <v>9</v>
      </c>
      <c r="E102" s="27">
        <v>6</v>
      </c>
      <c r="F102" s="4">
        <v>96.65</v>
      </c>
      <c r="G102" s="4">
        <f t="shared" si="1"/>
        <v>579.90000000000009</v>
      </c>
      <c r="H102" s="3" t="s">
        <v>8</v>
      </c>
    </row>
    <row r="103" spans="1:8">
      <c r="A103" s="3" t="s">
        <v>75</v>
      </c>
      <c r="B103" s="3">
        <v>2024</v>
      </c>
      <c r="C103" s="3" t="s">
        <v>7</v>
      </c>
      <c r="D103" s="15" t="s">
        <v>74</v>
      </c>
      <c r="E103" s="27">
        <v>1</v>
      </c>
      <c r="F103" s="4">
        <v>417.11</v>
      </c>
      <c r="G103" s="4">
        <f t="shared" si="1"/>
        <v>417.11</v>
      </c>
      <c r="H103" s="3" t="s">
        <v>8</v>
      </c>
    </row>
    <row r="104" spans="1:8">
      <c r="A104" s="3" t="s">
        <v>75</v>
      </c>
      <c r="B104" s="3">
        <v>2024</v>
      </c>
      <c r="C104" s="3" t="s">
        <v>7</v>
      </c>
      <c r="D104" s="15" t="s">
        <v>56</v>
      </c>
      <c r="E104" s="27">
        <v>3</v>
      </c>
      <c r="F104" s="4">
        <v>296.25</v>
      </c>
      <c r="G104" s="4">
        <f t="shared" si="1"/>
        <v>888.75</v>
      </c>
      <c r="H104" s="3" t="s">
        <v>8</v>
      </c>
    </row>
    <row r="105" spans="1:8">
      <c r="A105" s="3" t="s">
        <v>75</v>
      </c>
      <c r="B105" s="3">
        <v>2024</v>
      </c>
      <c r="C105" s="3" t="s">
        <v>7</v>
      </c>
      <c r="D105" s="15" t="s">
        <v>36</v>
      </c>
      <c r="E105" s="27">
        <v>2</v>
      </c>
      <c r="F105" s="4">
        <v>162.66999999999999</v>
      </c>
      <c r="G105" s="4">
        <f t="shared" si="1"/>
        <v>325.33999999999997</v>
      </c>
      <c r="H105" s="3" t="s">
        <v>8</v>
      </c>
    </row>
    <row r="106" spans="1:8">
      <c r="A106" s="3" t="s">
        <v>75</v>
      </c>
      <c r="B106" s="3">
        <v>2024</v>
      </c>
      <c r="C106" s="3" t="s">
        <v>7</v>
      </c>
      <c r="D106" s="16" t="s">
        <v>68</v>
      </c>
      <c r="E106" s="28">
        <v>4</v>
      </c>
      <c r="F106" s="4">
        <v>30.61</v>
      </c>
      <c r="G106" s="4">
        <f t="shared" si="1"/>
        <v>122.44</v>
      </c>
      <c r="H106" s="3" t="s">
        <v>8</v>
      </c>
    </row>
    <row r="107" spans="1:8">
      <c r="A107" s="3" t="s">
        <v>75</v>
      </c>
      <c r="B107" s="3">
        <v>2024</v>
      </c>
      <c r="C107" s="3" t="s">
        <v>7</v>
      </c>
      <c r="D107" s="20" t="s">
        <v>76</v>
      </c>
      <c r="E107" s="27">
        <v>2</v>
      </c>
      <c r="F107" s="4">
        <v>88.66</v>
      </c>
      <c r="G107" s="4">
        <f t="shared" si="1"/>
        <v>177.32</v>
      </c>
      <c r="H107" s="3" t="s">
        <v>16</v>
      </c>
    </row>
    <row r="108" spans="1:8">
      <c r="A108" s="3" t="s">
        <v>75</v>
      </c>
      <c r="B108" s="3">
        <v>2024</v>
      </c>
      <c r="C108" s="3" t="s">
        <v>7</v>
      </c>
      <c r="D108" s="15" t="s">
        <v>4</v>
      </c>
      <c r="E108" s="27">
        <v>2</v>
      </c>
      <c r="F108" s="4">
        <v>87.06</v>
      </c>
      <c r="G108" s="4">
        <f t="shared" si="1"/>
        <v>174.12</v>
      </c>
      <c r="H108" s="3" t="s">
        <v>35</v>
      </c>
    </row>
    <row r="109" spans="1:8">
      <c r="A109" s="3" t="s">
        <v>75</v>
      </c>
      <c r="B109" s="3">
        <v>2024</v>
      </c>
      <c r="C109" s="3" t="s">
        <v>7</v>
      </c>
      <c r="D109" s="15" t="s">
        <v>31</v>
      </c>
      <c r="E109" s="27">
        <v>9</v>
      </c>
      <c r="F109" s="4">
        <v>86.22</v>
      </c>
      <c r="G109" s="4">
        <f t="shared" si="1"/>
        <v>775.98</v>
      </c>
      <c r="H109" s="3" t="s">
        <v>32</v>
      </c>
    </row>
    <row r="110" spans="1:8">
      <c r="A110" s="3" t="s">
        <v>75</v>
      </c>
      <c r="B110" s="3">
        <v>2024</v>
      </c>
      <c r="C110" s="3" t="s">
        <v>12</v>
      </c>
      <c r="D110" s="7" t="s">
        <v>37</v>
      </c>
      <c r="E110" s="24">
        <v>3</v>
      </c>
      <c r="F110" s="4">
        <v>16.89</v>
      </c>
      <c r="G110" s="4">
        <f t="shared" si="1"/>
        <v>50.67</v>
      </c>
      <c r="H110" s="3" t="s">
        <v>15</v>
      </c>
    </row>
    <row r="111" spans="1:8">
      <c r="A111" s="3" t="s">
        <v>75</v>
      </c>
      <c r="B111" s="3">
        <v>2024</v>
      </c>
      <c r="C111" s="3" t="s">
        <v>12</v>
      </c>
      <c r="D111" s="7" t="s">
        <v>38</v>
      </c>
      <c r="E111" s="24">
        <v>3</v>
      </c>
      <c r="F111" s="4">
        <v>30.15</v>
      </c>
      <c r="G111" s="4">
        <f t="shared" si="1"/>
        <v>90.449999999999989</v>
      </c>
      <c r="H111" s="3" t="s">
        <v>15</v>
      </c>
    </row>
    <row r="112" spans="1:8">
      <c r="A112" s="3" t="s">
        <v>75</v>
      </c>
      <c r="B112" s="3">
        <v>2024</v>
      </c>
      <c r="C112" s="3" t="s">
        <v>12</v>
      </c>
      <c r="D112" s="7" t="s">
        <v>39</v>
      </c>
      <c r="E112" s="24">
        <v>4</v>
      </c>
      <c r="F112" s="4">
        <v>40.72</v>
      </c>
      <c r="G112" s="4">
        <f t="shared" si="1"/>
        <v>162.88</v>
      </c>
      <c r="H112" s="3" t="s">
        <v>15</v>
      </c>
    </row>
    <row r="113" spans="1:8">
      <c r="A113" s="3" t="s">
        <v>75</v>
      </c>
      <c r="B113" s="3">
        <v>2024</v>
      </c>
      <c r="C113" s="3" t="s">
        <v>12</v>
      </c>
      <c r="D113" s="7" t="s">
        <v>20</v>
      </c>
      <c r="E113" s="24">
        <v>8</v>
      </c>
      <c r="F113" s="4">
        <v>44.53</v>
      </c>
      <c r="G113" s="4">
        <f t="shared" si="1"/>
        <v>356.24</v>
      </c>
      <c r="H113" s="3" t="s">
        <v>15</v>
      </c>
    </row>
    <row r="114" spans="1:8">
      <c r="A114" s="3" t="s">
        <v>75</v>
      </c>
      <c r="B114" s="3">
        <v>2024</v>
      </c>
      <c r="C114" s="3" t="s">
        <v>12</v>
      </c>
      <c r="D114" s="7" t="s">
        <v>21</v>
      </c>
      <c r="E114" s="24">
        <v>11</v>
      </c>
      <c r="F114" s="4">
        <v>48.39</v>
      </c>
      <c r="G114" s="4">
        <f t="shared" si="1"/>
        <v>532.29</v>
      </c>
      <c r="H114" s="3" t="s">
        <v>15</v>
      </c>
    </row>
    <row r="115" spans="1:8">
      <c r="A115" s="3" t="s">
        <v>75</v>
      </c>
      <c r="B115" s="3">
        <v>2024</v>
      </c>
      <c r="C115" s="3" t="s">
        <v>12</v>
      </c>
      <c r="D115" s="7" t="s">
        <v>77</v>
      </c>
      <c r="E115" s="24">
        <v>15</v>
      </c>
      <c r="F115" s="4">
        <v>45.14</v>
      </c>
      <c r="G115" s="4">
        <f t="shared" si="1"/>
        <v>677.1</v>
      </c>
      <c r="H115" s="3" t="s">
        <v>15</v>
      </c>
    </row>
    <row r="116" spans="1:8">
      <c r="A116" s="3" t="s">
        <v>75</v>
      </c>
      <c r="B116" s="3">
        <v>2024</v>
      </c>
      <c r="C116" s="3" t="s">
        <v>12</v>
      </c>
      <c r="D116" s="7" t="s">
        <v>62</v>
      </c>
      <c r="E116" s="24">
        <v>6</v>
      </c>
      <c r="F116" s="4">
        <v>35.869999999999997</v>
      </c>
      <c r="G116" s="4">
        <f t="shared" si="1"/>
        <v>215.21999999999997</v>
      </c>
      <c r="H116" s="3" t="s">
        <v>15</v>
      </c>
    </row>
    <row r="117" spans="1:8">
      <c r="A117" s="3" t="s">
        <v>75</v>
      </c>
      <c r="B117" s="3">
        <v>2024</v>
      </c>
      <c r="C117" s="3" t="s">
        <v>12</v>
      </c>
      <c r="D117" s="7" t="s">
        <v>22</v>
      </c>
      <c r="E117" s="24">
        <v>4</v>
      </c>
      <c r="F117" s="4">
        <v>60.91</v>
      </c>
      <c r="G117" s="4">
        <f t="shared" si="1"/>
        <v>243.64</v>
      </c>
      <c r="H117" s="3" t="s">
        <v>15</v>
      </c>
    </row>
    <row r="118" spans="1:8">
      <c r="A118" s="3" t="s">
        <v>75</v>
      </c>
      <c r="B118" s="3">
        <v>2024</v>
      </c>
      <c r="C118" s="3" t="s">
        <v>12</v>
      </c>
      <c r="D118" s="7" t="s">
        <v>23</v>
      </c>
      <c r="E118" s="24">
        <v>2</v>
      </c>
      <c r="F118" s="4">
        <v>72.41</v>
      </c>
      <c r="G118" s="4">
        <f t="shared" si="1"/>
        <v>144.82</v>
      </c>
      <c r="H118" s="3" t="s">
        <v>15</v>
      </c>
    </row>
    <row r="119" spans="1:8">
      <c r="A119" s="3" t="s">
        <v>75</v>
      </c>
      <c r="B119" s="3">
        <v>2024</v>
      </c>
      <c r="C119" s="3" t="s">
        <v>12</v>
      </c>
      <c r="D119" s="7" t="s">
        <v>14</v>
      </c>
      <c r="E119" s="24">
        <v>5</v>
      </c>
      <c r="F119" s="4">
        <v>47.43</v>
      </c>
      <c r="G119" s="4">
        <f t="shared" si="1"/>
        <v>237.15</v>
      </c>
      <c r="H119" s="3" t="s">
        <v>16</v>
      </c>
    </row>
    <row r="120" spans="1:8">
      <c r="A120" s="3" t="s">
        <v>75</v>
      </c>
      <c r="B120" s="3">
        <v>2024</v>
      </c>
      <c r="C120" s="3" t="s">
        <v>28</v>
      </c>
      <c r="D120" s="7" t="s">
        <v>59</v>
      </c>
      <c r="E120" s="24">
        <v>19</v>
      </c>
      <c r="F120" s="4">
        <v>7.17</v>
      </c>
      <c r="G120" s="4">
        <f t="shared" si="1"/>
        <v>136.22999999999999</v>
      </c>
      <c r="H120" s="3" t="s">
        <v>29</v>
      </c>
    </row>
    <row r="121" spans="1:8">
      <c r="A121" s="3" t="s">
        <v>75</v>
      </c>
      <c r="B121" s="3">
        <v>2024</v>
      </c>
      <c r="C121" s="3" t="s">
        <v>28</v>
      </c>
      <c r="D121" s="7" t="s">
        <v>27</v>
      </c>
      <c r="E121" s="24">
        <v>7</v>
      </c>
      <c r="F121" s="4">
        <v>13.45</v>
      </c>
      <c r="G121" s="4">
        <f t="shared" si="1"/>
        <v>94.149999999999991</v>
      </c>
      <c r="H121" s="3" t="s">
        <v>29</v>
      </c>
    </row>
    <row r="122" spans="1:8">
      <c r="A122" s="3" t="s">
        <v>78</v>
      </c>
      <c r="B122" s="3">
        <v>2024</v>
      </c>
      <c r="C122" s="3" t="s">
        <v>79</v>
      </c>
      <c r="D122" s="15" t="s">
        <v>71</v>
      </c>
      <c r="E122" s="27">
        <v>4</v>
      </c>
      <c r="F122" s="4">
        <v>58.68</v>
      </c>
      <c r="G122" s="4">
        <f t="shared" si="1"/>
        <v>234.72</v>
      </c>
      <c r="H122" s="3" t="s">
        <v>8</v>
      </c>
    </row>
    <row r="123" spans="1:8">
      <c r="A123" s="3" t="s">
        <v>78</v>
      </c>
      <c r="B123" s="3">
        <v>2024</v>
      </c>
      <c r="C123" s="3" t="s">
        <v>79</v>
      </c>
      <c r="D123" s="15" t="s">
        <v>3</v>
      </c>
      <c r="E123" s="27">
        <v>2</v>
      </c>
      <c r="F123" s="4">
        <v>129.29</v>
      </c>
      <c r="G123" s="4">
        <f t="shared" si="1"/>
        <v>258.58</v>
      </c>
      <c r="H123" s="3" t="s">
        <v>8</v>
      </c>
    </row>
    <row r="124" spans="1:8">
      <c r="A124" s="3" t="s">
        <v>78</v>
      </c>
      <c r="B124" s="3">
        <v>2024</v>
      </c>
      <c r="C124" s="3" t="s">
        <v>79</v>
      </c>
      <c r="D124" s="15" t="s">
        <v>4</v>
      </c>
      <c r="E124" s="27">
        <v>2</v>
      </c>
      <c r="F124" s="4">
        <v>87.06</v>
      </c>
      <c r="G124" s="4">
        <f t="shared" si="1"/>
        <v>174.12</v>
      </c>
      <c r="H124" s="3" t="s">
        <v>8</v>
      </c>
    </row>
    <row r="125" spans="1:8">
      <c r="A125" s="3" t="s">
        <v>78</v>
      </c>
      <c r="B125" s="3">
        <v>2024</v>
      </c>
      <c r="C125" s="3" t="s">
        <v>79</v>
      </c>
      <c r="D125" s="15" t="s">
        <v>9</v>
      </c>
      <c r="E125" s="27">
        <v>6</v>
      </c>
      <c r="F125" s="4">
        <v>96.65</v>
      </c>
      <c r="G125" s="4">
        <f t="shared" si="1"/>
        <v>579.90000000000009</v>
      </c>
      <c r="H125" s="3" t="s">
        <v>8</v>
      </c>
    </row>
    <row r="126" spans="1:8">
      <c r="A126" s="3" t="s">
        <v>78</v>
      </c>
      <c r="B126" s="3">
        <v>2024</v>
      </c>
      <c r="C126" s="3" t="s">
        <v>79</v>
      </c>
      <c r="D126" s="15" t="s">
        <v>56</v>
      </c>
      <c r="E126" s="27">
        <v>4</v>
      </c>
      <c r="F126" s="4">
        <v>296.25</v>
      </c>
      <c r="G126" s="4">
        <f t="shared" si="1"/>
        <v>1185</v>
      </c>
      <c r="H126" s="3" t="s">
        <v>8</v>
      </c>
    </row>
    <row r="127" spans="1:8">
      <c r="A127" s="3" t="s">
        <v>78</v>
      </c>
      <c r="B127" s="3">
        <v>2024</v>
      </c>
      <c r="C127" s="3" t="s">
        <v>79</v>
      </c>
      <c r="D127" s="15" t="s">
        <v>30</v>
      </c>
      <c r="E127" s="27">
        <v>3</v>
      </c>
      <c r="F127" s="4">
        <v>79.3</v>
      </c>
      <c r="G127" s="4">
        <f t="shared" si="1"/>
        <v>237.89999999999998</v>
      </c>
      <c r="H127" s="3" t="s">
        <v>32</v>
      </c>
    </row>
    <row r="128" spans="1:8">
      <c r="A128" s="3" t="s">
        <v>78</v>
      </c>
      <c r="B128" s="3">
        <v>2024</v>
      </c>
      <c r="C128" s="3" t="s">
        <v>79</v>
      </c>
      <c r="D128" s="15" t="s">
        <v>31</v>
      </c>
      <c r="E128" s="27">
        <v>11</v>
      </c>
      <c r="F128" s="4">
        <v>86.22</v>
      </c>
      <c r="G128" s="4">
        <f t="shared" si="1"/>
        <v>948.42</v>
      </c>
      <c r="H128" s="3" t="s">
        <v>32</v>
      </c>
    </row>
    <row r="129" spans="1:8">
      <c r="A129" s="3" t="s">
        <v>78</v>
      </c>
      <c r="B129" s="3">
        <v>2024</v>
      </c>
      <c r="C129" s="3" t="s">
        <v>12</v>
      </c>
      <c r="D129" s="7" t="s">
        <v>11</v>
      </c>
      <c r="E129" s="24">
        <v>4</v>
      </c>
      <c r="F129" s="4">
        <v>33.33</v>
      </c>
      <c r="G129" s="4">
        <f t="shared" si="1"/>
        <v>133.32</v>
      </c>
      <c r="H129" s="3" t="s">
        <v>15</v>
      </c>
    </row>
    <row r="130" spans="1:8">
      <c r="A130" s="3" t="s">
        <v>78</v>
      </c>
      <c r="B130" s="3">
        <v>2024</v>
      </c>
      <c r="C130" s="3" t="s">
        <v>12</v>
      </c>
      <c r="D130" s="7" t="s">
        <v>18</v>
      </c>
      <c r="E130" s="24">
        <v>3</v>
      </c>
      <c r="F130" s="4">
        <v>19.14</v>
      </c>
      <c r="G130" s="4">
        <f t="shared" si="1"/>
        <v>57.42</v>
      </c>
      <c r="H130" s="3" t="s">
        <v>15</v>
      </c>
    </row>
    <row r="131" spans="1:8">
      <c r="A131" s="3" t="s">
        <v>78</v>
      </c>
      <c r="B131" s="3">
        <v>2024</v>
      </c>
      <c r="C131" s="3" t="s">
        <v>12</v>
      </c>
      <c r="D131" s="7" t="s">
        <v>39</v>
      </c>
      <c r="E131" s="24">
        <v>11</v>
      </c>
      <c r="F131" s="4">
        <v>40.72</v>
      </c>
      <c r="G131" s="4">
        <f t="shared" ref="G131:G194" si="2">E131*F131</f>
        <v>447.91999999999996</v>
      </c>
      <c r="H131" s="3" t="s">
        <v>15</v>
      </c>
    </row>
    <row r="132" spans="1:8">
      <c r="A132" s="3" t="s">
        <v>78</v>
      </c>
      <c r="B132" s="3">
        <v>2024</v>
      </c>
      <c r="C132" s="3" t="s">
        <v>12</v>
      </c>
      <c r="D132" s="7" t="s">
        <v>20</v>
      </c>
      <c r="E132" s="24">
        <v>12</v>
      </c>
      <c r="F132" s="4">
        <v>44.53</v>
      </c>
      <c r="G132" s="4">
        <f t="shared" si="2"/>
        <v>534.36</v>
      </c>
      <c r="H132" s="3" t="s">
        <v>15</v>
      </c>
    </row>
    <row r="133" spans="1:8">
      <c r="A133" s="3" t="s">
        <v>78</v>
      </c>
      <c r="B133" s="3">
        <v>2024</v>
      </c>
      <c r="C133" s="3" t="s">
        <v>12</v>
      </c>
      <c r="D133" s="7" t="s">
        <v>21</v>
      </c>
      <c r="E133" s="24">
        <v>5</v>
      </c>
      <c r="F133" s="4">
        <v>48.39</v>
      </c>
      <c r="G133" s="4">
        <f t="shared" si="2"/>
        <v>241.95</v>
      </c>
      <c r="H133" s="3" t="s">
        <v>15</v>
      </c>
    </row>
    <row r="134" spans="1:8">
      <c r="A134" s="3" t="s">
        <v>78</v>
      </c>
      <c r="B134" s="3">
        <v>2024</v>
      </c>
      <c r="C134" s="3" t="s">
        <v>12</v>
      </c>
      <c r="D134" s="7" t="s">
        <v>77</v>
      </c>
      <c r="E134" s="24">
        <v>21</v>
      </c>
      <c r="F134" s="4">
        <v>45.14</v>
      </c>
      <c r="G134" s="4">
        <f t="shared" si="2"/>
        <v>947.94</v>
      </c>
      <c r="H134" s="3" t="s">
        <v>15</v>
      </c>
    </row>
    <row r="135" spans="1:8">
      <c r="A135" s="3" t="s">
        <v>78</v>
      </c>
      <c r="B135" s="3">
        <v>2024</v>
      </c>
      <c r="C135" s="3" t="s">
        <v>12</v>
      </c>
      <c r="D135" s="7" t="s">
        <v>40</v>
      </c>
      <c r="E135" s="24">
        <v>9</v>
      </c>
      <c r="F135" s="4">
        <v>59.81</v>
      </c>
      <c r="G135" s="4">
        <f t="shared" si="2"/>
        <v>538.29</v>
      </c>
      <c r="H135" s="3" t="s">
        <v>15</v>
      </c>
    </row>
    <row r="136" spans="1:8">
      <c r="A136" s="3" t="s">
        <v>78</v>
      </c>
      <c r="B136" s="3">
        <v>2024</v>
      </c>
      <c r="C136" s="3" t="s">
        <v>12</v>
      </c>
      <c r="D136" s="7" t="s">
        <v>23</v>
      </c>
      <c r="E136" s="24">
        <v>1</v>
      </c>
      <c r="F136" s="4">
        <v>72.41</v>
      </c>
      <c r="G136" s="4">
        <f t="shared" si="2"/>
        <v>72.41</v>
      </c>
      <c r="H136" s="3" t="s">
        <v>15</v>
      </c>
    </row>
    <row r="137" spans="1:8">
      <c r="A137" s="3" t="s">
        <v>78</v>
      </c>
      <c r="B137" s="3">
        <v>2024</v>
      </c>
      <c r="C137" s="3" t="s">
        <v>12</v>
      </c>
      <c r="D137" s="7" t="s">
        <v>14</v>
      </c>
      <c r="E137" s="24">
        <v>10</v>
      </c>
      <c r="F137" s="4">
        <v>47.43</v>
      </c>
      <c r="G137" s="4">
        <f t="shared" si="2"/>
        <v>474.3</v>
      </c>
      <c r="H137" s="3" t="s">
        <v>16</v>
      </c>
    </row>
    <row r="138" spans="1:8">
      <c r="A138" s="3" t="s">
        <v>78</v>
      </c>
      <c r="B138" s="3">
        <v>2024</v>
      </c>
      <c r="C138" s="3" t="s">
        <v>28</v>
      </c>
      <c r="D138" s="7" t="s">
        <v>59</v>
      </c>
      <c r="E138" s="24">
        <v>3</v>
      </c>
      <c r="F138" s="4">
        <v>7.17</v>
      </c>
      <c r="G138" s="4">
        <f t="shared" si="2"/>
        <v>21.509999999999998</v>
      </c>
      <c r="H138" s="3" t="s">
        <v>29</v>
      </c>
    </row>
    <row r="139" spans="1:8">
      <c r="A139" s="3" t="s">
        <v>78</v>
      </c>
      <c r="B139" s="3">
        <v>2024</v>
      </c>
      <c r="C139" s="3" t="s">
        <v>28</v>
      </c>
      <c r="D139" s="7" t="s">
        <v>80</v>
      </c>
      <c r="E139" s="24">
        <v>6</v>
      </c>
      <c r="F139" s="4">
        <v>13.45</v>
      </c>
      <c r="G139" s="4">
        <f t="shared" si="2"/>
        <v>80.699999999999989</v>
      </c>
      <c r="H139" s="3" t="s">
        <v>29</v>
      </c>
    </row>
    <row r="140" spans="1:8">
      <c r="A140" s="3" t="s">
        <v>78</v>
      </c>
      <c r="B140" s="3">
        <v>2024</v>
      </c>
      <c r="C140" s="3" t="s">
        <v>28</v>
      </c>
      <c r="D140" s="7" t="s">
        <v>27</v>
      </c>
      <c r="E140" s="24">
        <v>14</v>
      </c>
      <c r="F140" s="4">
        <v>13.45</v>
      </c>
      <c r="G140" s="4">
        <f t="shared" si="2"/>
        <v>188.29999999999998</v>
      </c>
      <c r="H140" s="3" t="s">
        <v>29</v>
      </c>
    </row>
    <row r="141" spans="1:8">
      <c r="A141" s="3" t="s">
        <v>82</v>
      </c>
      <c r="B141" s="3">
        <v>2024</v>
      </c>
      <c r="C141" s="3" t="s">
        <v>79</v>
      </c>
      <c r="D141" s="14" t="s">
        <v>3</v>
      </c>
      <c r="E141" s="27">
        <v>3</v>
      </c>
      <c r="F141" s="4">
        <v>129.29</v>
      </c>
      <c r="G141" s="4">
        <f t="shared" si="2"/>
        <v>387.87</v>
      </c>
      <c r="H141" s="3" t="s">
        <v>8</v>
      </c>
    </row>
    <row r="142" spans="1:8">
      <c r="A142" s="3" t="s">
        <v>82</v>
      </c>
      <c r="B142" s="3">
        <v>2024</v>
      </c>
      <c r="C142" s="3" t="s">
        <v>79</v>
      </c>
      <c r="D142" s="14" t="s">
        <v>4</v>
      </c>
      <c r="E142" s="27">
        <v>2</v>
      </c>
      <c r="F142" s="4">
        <v>87.06</v>
      </c>
      <c r="G142" s="4">
        <f t="shared" si="2"/>
        <v>174.12</v>
      </c>
      <c r="H142" s="3" t="s">
        <v>8</v>
      </c>
    </row>
    <row r="143" spans="1:8">
      <c r="A143" s="3" t="s">
        <v>82</v>
      </c>
      <c r="B143" s="3">
        <v>2024</v>
      </c>
      <c r="C143" s="3" t="s">
        <v>79</v>
      </c>
      <c r="D143" s="14" t="s">
        <v>56</v>
      </c>
      <c r="E143" s="27">
        <v>3</v>
      </c>
      <c r="F143" s="4">
        <v>296.25</v>
      </c>
      <c r="G143" s="4">
        <f t="shared" si="2"/>
        <v>888.75</v>
      </c>
      <c r="H143" s="3" t="s">
        <v>8</v>
      </c>
    </row>
    <row r="144" spans="1:8">
      <c r="A144" s="3" t="s">
        <v>82</v>
      </c>
      <c r="B144" s="3">
        <v>2024</v>
      </c>
      <c r="C144" s="3" t="s">
        <v>79</v>
      </c>
      <c r="D144" s="14" t="s">
        <v>36</v>
      </c>
      <c r="E144" s="27">
        <v>1</v>
      </c>
      <c r="F144" s="4">
        <v>162.66999999999999</v>
      </c>
      <c r="G144" s="4">
        <f t="shared" si="2"/>
        <v>162.66999999999999</v>
      </c>
      <c r="H144" s="3" t="s">
        <v>8</v>
      </c>
    </row>
    <row r="145" spans="1:8">
      <c r="A145" s="3" t="s">
        <v>82</v>
      </c>
      <c r="B145" s="3">
        <v>2024</v>
      </c>
      <c r="C145" s="3" t="s">
        <v>79</v>
      </c>
      <c r="D145" s="14" t="s">
        <v>81</v>
      </c>
      <c r="E145" s="27">
        <v>3</v>
      </c>
      <c r="F145" s="4">
        <v>456.88</v>
      </c>
      <c r="G145" s="4">
        <f t="shared" si="2"/>
        <v>1370.6399999999999</v>
      </c>
      <c r="H145" s="3" t="s">
        <v>8</v>
      </c>
    </row>
    <row r="146" spans="1:8">
      <c r="A146" s="3" t="s">
        <v>82</v>
      </c>
      <c r="B146" s="3">
        <v>2024</v>
      </c>
      <c r="C146" s="3" t="s">
        <v>79</v>
      </c>
      <c r="D146" s="14" t="s">
        <v>83</v>
      </c>
      <c r="E146" s="27">
        <v>1</v>
      </c>
      <c r="F146" s="4">
        <v>86.46</v>
      </c>
      <c r="G146" s="4">
        <f t="shared" si="2"/>
        <v>86.46</v>
      </c>
      <c r="H146" s="3" t="s">
        <v>10</v>
      </c>
    </row>
    <row r="147" spans="1:8">
      <c r="A147" s="3" t="s">
        <v>82</v>
      </c>
      <c r="B147" s="3">
        <v>2024</v>
      </c>
      <c r="C147" s="3" t="s">
        <v>79</v>
      </c>
      <c r="D147" s="14" t="s">
        <v>9</v>
      </c>
      <c r="E147" s="27">
        <v>2</v>
      </c>
      <c r="F147" s="4">
        <v>96.65</v>
      </c>
      <c r="G147" s="4">
        <f t="shared" si="2"/>
        <v>193.3</v>
      </c>
      <c r="H147" s="3" t="s">
        <v>10</v>
      </c>
    </row>
    <row r="148" spans="1:8">
      <c r="A148" s="3" t="s">
        <v>82</v>
      </c>
      <c r="B148" s="3">
        <v>2024</v>
      </c>
      <c r="C148" s="3" t="s">
        <v>79</v>
      </c>
      <c r="D148" s="14" t="s">
        <v>71</v>
      </c>
      <c r="E148" s="27">
        <v>5</v>
      </c>
      <c r="F148" s="4">
        <v>58.68</v>
      </c>
      <c r="G148" s="4">
        <f t="shared" si="2"/>
        <v>293.39999999999998</v>
      </c>
      <c r="H148" s="3" t="s">
        <v>32</v>
      </c>
    </row>
    <row r="149" spans="1:8">
      <c r="A149" s="3" t="s">
        <v>82</v>
      </c>
      <c r="B149" s="3">
        <v>2024</v>
      </c>
      <c r="C149" s="3" t="s">
        <v>12</v>
      </c>
      <c r="D149" s="5" t="s">
        <v>19</v>
      </c>
      <c r="E149" s="24">
        <v>4</v>
      </c>
      <c r="F149" s="4">
        <v>26.49</v>
      </c>
      <c r="G149" s="4">
        <f t="shared" si="2"/>
        <v>105.96</v>
      </c>
      <c r="H149" s="3" t="s">
        <v>15</v>
      </c>
    </row>
    <row r="150" spans="1:8">
      <c r="A150" s="3" t="s">
        <v>82</v>
      </c>
      <c r="B150" s="3">
        <v>2024</v>
      </c>
      <c r="C150" s="3" t="s">
        <v>12</v>
      </c>
      <c r="D150" s="5" t="s">
        <v>38</v>
      </c>
      <c r="E150" s="24">
        <v>3</v>
      </c>
      <c r="F150" s="4">
        <v>30.15</v>
      </c>
      <c r="G150" s="4">
        <f t="shared" si="2"/>
        <v>90.449999999999989</v>
      </c>
      <c r="H150" s="3" t="s">
        <v>15</v>
      </c>
    </row>
    <row r="151" spans="1:8">
      <c r="A151" s="3" t="s">
        <v>82</v>
      </c>
      <c r="B151" s="3">
        <v>2024</v>
      </c>
      <c r="C151" s="3" t="s">
        <v>12</v>
      </c>
      <c r="D151" s="5" t="s">
        <v>39</v>
      </c>
      <c r="E151" s="24">
        <v>5</v>
      </c>
      <c r="F151" s="4">
        <v>40.72</v>
      </c>
      <c r="G151" s="4">
        <f t="shared" si="2"/>
        <v>203.6</v>
      </c>
      <c r="H151" s="3" t="s">
        <v>15</v>
      </c>
    </row>
    <row r="152" spans="1:8">
      <c r="A152" s="3" t="s">
        <v>82</v>
      </c>
      <c r="B152" s="3">
        <v>2024</v>
      </c>
      <c r="C152" s="3" t="s">
        <v>12</v>
      </c>
      <c r="D152" s="5" t="s">
        <v>21</v>
      </c>
      <c r="E152" s="24">
        <v>9</v>
      </c>
      <c r="F152" s="4">
        <v>48.39</v>
      </c>
      <c r="G152" s="4">
        <f t="shared" si="2"/>
        <v>435.51</v>
      </c>
      <c r="H152" s="3" t="s">
        <v>15</v>
      </c>
    </row>
    <row r="153" spans="1:8">
      <c r="A153" s="3" t="s">
        <v>82</v>
      </c>
      <c r="B153" s="3">
        <v>2024</v>
      </c>
      <c r="C153" s="3" t="s">
        <v>12</v>
      </c>
      <c r="D153" s="5" t="s">
        <v>40</v>
      </c>
      <c r="E153" s="24">
        <v>1</v>
      </c>
      <c r="F153" s="4">
        <v>59.81</v>
      </c>
      <c r="G153" s="4">
        <f t="shared" si="2"/>
        <v>59.81</v>
      </c>
      <c r="H153" s="3" t="s">
        <v>15</v>
      </c>
    </row>
    <row r="154" spans="1:8">
      <c r="A154" s="3" t="s">
        <v>82</v>
      </c>
      <c r="B154" s="3">
        <v>2024</v>
      </c>
      <c r="C154" s="3" t="s">
        <v>12</v>
      </c>
      <c r="D154" s="5" t="s">
        <v>23</v>
      </c>
      <c r="E154" s="24">
        <v>1</v>
      </c>
      <c r="F154" s="4">
        <v>72.41</v>
      </c>
      <c r="G154" s="4">
        <f t="shared" si="2"/>
        <v>72.41</v>
      </c>
      <c r="H154" s="3" t="s">
        <v>15</v>
      </c>
    </row>
    <row r="155" spans="1:8">
      <c r="A155" s="3" t="s">
        <v>82</v>
      </c>
      <c r="B155" s="3">
        <v>2024</v>
      </c>
      <c r="C155" s="3" t="s">
        <v>12</v>
      </c>
      <c r="D155" s="5" t="s">
        <v>14</v>
      </c>
      <c r="E155" s="24">
        <v>28</v>
      </c>
      <c r="F155" s="4">
        <v>47.43</v>
      </c>
      <c r="G155" s="4">
        <f t="shared" si="2"/>
        <v>1328.04</v>
      </c>
      <c r="H155" s="3" t="s">
        <v>16</v>
      </c>
    </row>
    <row r="156" spans="1:8">
      <c r="A156" s="3" t="s">
        <v>82</v>
      </c>
      <c r="B156" s="3">
        <v>2024</v>
      </c>
      <c r="C156" s="3" t="s">
        <v>28</v>
      </c>
      <c r="D156" s="5" t="s">
        <v>84</v>
      </c>
      <c r="E156" s="24">
        <v>2</v>
      </c>
      <c r="F156" s="4">
        <v>15.83</v>
      </c>
      <c r="G156" s="4">
        <f t="shared" si="2"/>
        <v>31.66</v>
      </c>
      <c r="H156" s="3" t="s">
        <v>227</v>
      </c>
    </row>
    <row r="157" spans="1:8">
      <c r="A157" s="3" t="s">
        <v>82</v>
      </c>
      <c r="B157" s="3">
        <v>2024</v>
      </c>
      <c r="C157" s="3" t="s">
        <v>28</v>
      </c>
      <c r="D157" s="5" t="s">
        <v>85</v>
      </c>
      <c r="E157" s="24">
        <v>41</v>
      </c>
      <c r="F157" s="4">
        <v>19.68</v>
      </c>
      <c r="G157" s="4">
        <f t="shared" si="2"/>
        <v>806.88</v>
      </c>
      <c r="H157" s="3" t="s">
        <v>227</v>
      </c>
    </row>
    <row r="158" spans="1:8">
      <c r="A158" s="3" t="s">
        <v>82</v>
      </c>
      <c r="B158" s="3">
        <v>2024</v>
      </c>
      <c r="C158" s="3" t="s">
        <v>28</v>
      </c>
      <c r="D158" s="5" t="s">
        <v>25</v>
      </c>
      <c r="E158" s="24">
        <v>11</v>
      </c>
      <c r="F158" s="4">
        <v>20.190000000000001</v>
      </c>
      <c r="G158" s="4">
        <f t="shared" si="2"/>
        <v>222.09</v>
      </c>
      <c r="H158" s="3" t="s">
        <v>227</v>
      </c>
    </row>
    <row r="159" spans="1:8">
      <c r="A159" s="3" t="s">
        <v>82</v>
      </c>
      <c r="B159" s="3">
        <v>2024</v>
      </c>
      <c r="C159" s="3" t="s">
        <v>28</v>
      </c>
      <c r="D159" s="7" t="s">
        <v>66</v>
      </c>
      <c r="E159" s="24">
        <v>5</v>
      </c>
      <c r="F159" s="4">
        <v>26.71</v>
      </c>
      <c r="G159" s="4">
        <f t="shared" si="2"/>
        <v>133.55000000000001</v>
      </c>
      <c r="H159" s="3" t="s">
        <v>29</v>
      </c>
    </row>
    <row r="160" spans="1:8">
      <c r="A160" s="3" t="s">
        <v>82</v>
      </c>
      <c r="B160" s="3">
        <v>2024</v>
      </c>
      <c r="C160" s="3" t="s">
        <v>28</v>
      </c>
      <c r="D160" s="7" t="s">
        <v>80</v>
      </c>
      <c r="E160" s="24">
        <v>10</v>
      </c>
      <c r="F160" s="4">
        <v>13.45</v>
      </c>
      <c r="G160" s="4">
        <f t="shared" si="2"/>
        <v>134.5</v>
      </c>
      <c r="H160" s="3" t="s">
        <v>29</v>
      </c>
    </row>
    <row r="161" spans="1:8">
      <c r="A161" s="3" t="s">
        <v>86</v>
      </c>
      <c r="B161" s="3">
        <v>2024</v>
      </c>
      <c r="C161" s="3" t="s">
        <v>79</v>
      </c>
      <c r="D161" s="14" t="s">
        <v>87</v>
      </c>
      <c r="E161" s="27">
        <v>4</v>
      </c>
      <c r="F161" s="4">
        <v>223.33</v>
      </c>
      <c r="G161" s="4">
        <f t="shared" si="2"/>
        <v>893.32</v>
      </c>
      <c r="H161" s="3" t="s">
        <v>8</v>
      </c>
    </row>
    <row r="162" spans="1:8">
      <c r="A162" s="3" t="s">
        <v>86</v>
      </c>
      <c r="B162" s="3">
        <v>2024</v>
      </c>
      <c r="C162" s="3" t="s">
        <v>79</v>
      </c>
      <c r="D162" s="14" t="s">
        <v>3</v>
      </c>
      <c r="E162" s="27">
        <v>3</v>
      </c>
      <c r="F162" s="4">
        <v>129.29</v>
      </c>
      <c r="G162" s="4">
        <f t="shared" si="2"/>
        <v>387.87</v>
      </c>
      <c r="H162" s="3" t="s">
        <v>8</v>
      </c>
    </row>
    <row r="163" spans="1:8">
      <c r="A163" s="3" t="s">
        <v>86</v>
      </c>
      <c r="B163" s="3">
        <v>2024</v>
      </c>
      <c r="C163" s="3" t="s">
        <v>79</v>
      </c>
      <c r="D163" s="14" t="s">
        <v>88</v>
      </c>
      <c r="E163" s="27">
        <v>3</v>
      </c>
      <c r="F163" s="4">
        <v>258.29000000000002</v>
      </c>
      <c r="G163" s="4">
        <f t="shared" si="2"/>
        <v>774.87000000000012</v>
      </c>
      <c r="H163" s="3" t="s">
        <v>8</v>
      </c>
    </row>
    <row r="164" spans="1:8">
      <c r="A164" s="3" t="s">
        <v>86</v>
      </c>
      <c r="B164" s="3">
        <v>2024</v>
      </c>
      <c r="C164" s="3" t="s">
        <v>79</v>
      </c>
      <c r="D164" s="14" t="s">
        <v>81</v>
      </c>
      <c r="E164" s="27">
        <v>2</v>
      </c>
      <c r="F164" s="4">
        <v>456.88</v>
      </c>
      <c r="G164" s="4">
        <f t="shared" si="2"/>
        <v>913.76</v>
      </c>
      <c r="H164" s="3" t="s">
        <v>8</v>
      </c>
    </row>
    <row r="165" spans="1:8">
      <c r="A165" s="3" t="s">
        <v>86</v>
      </c>
      <c r="B165" s="3">
        <v>2024</v>
      </c>
      <c r="C165" s="3" t="s">
        <v>79</v>
      </c>
      <c r="D165" s="14" t="s">
        <v>4</v>
      </c>
      <c r="E165" s="27">
        <v>3</v>
      </c>
      <c r="F165" s="4">
        <v>87.06</v>
      </c>
      <c r="G165" s="4">
        <f t="shared" si="2"/>
        <v>261.18</v>
      </c>
      <c r="H165" s="3" t="s">
        <v>35</v>
      </c>
    </row>
    <row r="166" spans="1:8">
      <c r="A166" s="3" t="s">
        <v>86</v>
      </c>
      <c r="B166" s="3">
        <v>2024</v>
      </c>
      <c r="C166" s="3" t="s">
        <v>79</v>
      </c>
      <c r="D166" s="14" t="s">
        <v>89</v>
      </c>
      <c r="E166" s="27">
        <v>2</v>
      </c>
      <c r="F166" s="4">
        <v>148.94999999999999</v>
      </c>
      <c r="G166" s="4">
        <f t="shared" si="2"/>
        <v>297.89999999999998</v>
      </c>
      <c r="H166" s="3" t="s">
        <v>10</v>
      </c>
    </row>
    <row r="167" spans="1:8">
      <c r="A167" s="3" t="s">
        <v>86</v>
      </c>
      <c r="B167" s="3">
        <v>2024</v>
      </c>
      <c r="C167" s="3" t="s">
        <v>79</v>
      </c>
      <c r="D167" s="14" t="s">
        <v>9</v>
      </c>
      <c r="E167" s="27">
        <v>2</v>
      </c>
      <c r="F167" s="4">
        <v>96.65</v>
      </c>
      <c r="G167" s="4">
        <f t="shared" si="2"/>
        <v>193.3</v>
      </c>
      <c r="H167" s="3" t="s">
        <v>10</v>
      </c>
    </row>
    <row r="168" spans="1:8">
      <c r="A168" s="3" t="s">
        <v>86</v>
      </c>
      <c r="B168" s="3">
        <v>2024</v>
      </c>
      <c r="C168" s="3" t="s">
        <v>79</v>
      </c>
      <c r="D168" s="14" t="s">
        <v>71</v>
      </c>
      <c r="E168" s="27">
        <v>2</v>
      </c>
      <c r="F168" s="4">
        <v>58.68</v>
      </c>
      <c r="G168" s="4">
        <f t="shared" si="2"/>
        <v>117.36</v>
      </c>
      <c r="H168" s="3" t="s">
        <v>32</v>
      </c>
    </row>
    <row r="169" spans="1:8">
      <c r="A169" s="3" t="s">
        <v>86</v>
      </c>
      <c r="B169" s="3">
        <v>2024</v>
      </c>
      <c r="C169" s="3" t="s">
        <v>79</v>
      </c>
      <c r="D169" s="14" t="s">
        <v>30</v>
      </c>
      <c r="E169" s="27">
        <v>1</v>
      </c>
      <c r="F169" s="4">
        <v>79.3</v>
      </c>
      <c r="G169" s="4">
        <f t="shared" si="2"/>
        <v>79.3</v>
      </c>
      <c r="H169" s="3" t="s">
        <v>32</v>
      </c>
    </row>
    <row r="170" spans="1:8">
      <c r="A170" s="3" t="s">
        <v>86</v>
      </c>
      <c r="B170" s="3">
        <v>2024</v>
      </c>
      <c r="C170" s="3" t="s">
        <v>79</v>
      </c>
      <c r="D170" s="14" t="s">
        <v>31</v>
      </c>
      <c r="E170" s="27">
        <v>3</v>
      </c>
      <c r="F170" s="4">
        <v>86.22</v>
      </c>
      <c r="G170" s="4">
        <f t="shared" si="2"/>
        <v>258.65999999999997</v>
      </c>
      <c r="H170" s="3" t="s">
        <v>32</v>
      </c>
    </row>
    <row r="171" spans="1:8">
      <c r="A171" s="3" t="s">
        <v>86</v>
      </c>
      <c r="B171" s="3">
        <v>2024</v>
      </c>
      <c r="C171" s="3" t="s">
        <v>12</v>
      </c>
      <c r="D171" s="5" t="s">
        <v>11</v>
      </c>
      <c r="E171" s="24">
        <v>6</v>
      </c>
      <c r="F171" s="4">
        <v>33.33</v>
      </c>
      <c r="G171" s="4">
        <f t="shared" si="2"/>
        <v>199.98</v>
      </c>
      <c r="H171" s="3" t="s">
        <v>13</v>
      </c>
    </row>
    <row r="172" spans="1:8">
      <c r="A172" s="3" t="s">
        <v>86</v>
      </c>
      <c r="B172" s="3">
        <v>2024</v>
      </c>
      <c r="C172" s="3" t="s">
        <v>12</v>
      </c>
      <c r="D172" s="5" t="s">
        <v>38</v>
      </c>
      <c r="E172" s="24">
        <v>5</v>
      </c>
      <c r="F172" s="4">
        <v>30.15</v>
      </c>
      <c r="G172" s="4">
        <f t="shared" si="2"/>
        <v>150.75</v>
      </c>
      <c r="H172" s="3" t="s">
        <v>15</v>
      </c>
    </row>
    <row r="173" spans="1:8">
      <c r="A173" s="3" t="s">
        <v>86</v>
      </c>
      <c r="B173" s="3">
        <v>2024</v>
      </c>
      <c r="C173" s="3" t="s">
        <v>12</v>
      </c>
      <c r="D173" s="5" t="s">
        <v>20</v>
      </c>
      <c r="E173" s="24">
        <v>3</v>
      </c>
      <c r="F173" s="4">
        <v>44.53</v>
      </c>
      <c r="G173" s="4">
        <f t="shared" si="2"/>
        <v>133.59</v>
      </c>
      <c r="H173" s="3" t="s">
        <v>15</v>
      </c>
    </row>
    <row r="174" spans="1:8">
      <c r="A174" s="3" t="s">
        <v>86</v>
      </c>
      <c r="B174" s="3">
        <v>2024</v>
      </c>
      <c r="C174" s="3" t="s">
        <v>12</v>
      </c>
      <c r="D174" s="5" t="s">
        <v>21</v>
      </c>
      <c r="E174" s="24">
        <v>4</v>
      </c>
      <c r="F174" s="4">
        <v>48.39</v>
      </c>
      <c r="G174" s="4">
        <f t="shared" si="2"/>
        <v>193.56</v>
      </c>
      <c r="H174" s="3" t="s">
        <v>15</v>
      </c>
    </row>
    <row r="175" spans="1:8">
      <c r="A175" s="3" t="s">
        <v>86</v>
      </c>
      <c r="B175" s="3">
        <v>2024</v>
      </c>
      <c r="C175" s="3" t="s">
        <v>12</v>
      </c>
      <c r="D175" s="5" t="s">
        <v>23</v>
      </c>
      <c r="E175" s="24">
        <v>4</v>
      </c>
      <c r="F175" s="4">
        <v>72.41</v>
      </c>
      <c r="G175" s="4">
        <f t="shared" si="2"/>
        <v>289.64</v>
      </c>
      <c r="H175" s="3" t="s">
        <v>15</v>
      </c>
    </row>
    <row r="176" spans="1:8">
      <c r="A176" s="3" t="s">
        <v>86</v>
      </c>
      <c r="B176" s="3">
        <v>2024</v>
      </c>
      <c r="C176" s="3" t="s">
        <v>12</v>
      </c>
      <c r="D176" s="5" t="s">
        <v>24</v>
      </c>
      <c r="E176" s="24">
        <v>2</v>
      </c>
      <c r="F176" s="4">
        <v>82.67</v>
      </c>
      <c r="G176" s="4">
        <f t="shared" si="2"/>
        <v>165.34</v>
      </c>
      <c r="H176" s="3" t="s">
        <v>15</v>
      </c>
    </row>
    <row r="177" spans="1:8">
      <c r="A177" s="3" t="s">
        <v>86</v>
      </c>
      <c r="B177" s="3">
        <v>2024</v>
      </c>
      <c r="C177" s="3" t="s">
        <v>28</v>
      </c>
      <c r="D177" s="7" t="s">
        <v>27</v>
      </c>
      <c r="E177" s="24">
        <v>11</v>
      </c>
      <c r="F177" s="4">
        <v>13.45</v>
      </c>
      <c r="G177" s="4">
        <f t="shared" si="2"/>
        <v>147.94999999999999</v>
      </c>
      <c r="H177" s="3" t="s">
        <v>29</v>
      </c>
    </row>
    <row r="178" spans="1:8">
      <c r="A178" s="3" t="s">
        <v>86</v>
      </c>
      <c r="B178" s="3">
        <v>2024</v>
      </c>
      <c r="C178" s="3" t="s">
        <v>28</v>
      </c>
      <c r="D178" s="2" t="s">
        <v>90</v>
      </c>
      <c r="E178" s="23">
        <v>18</v>
      </c>
      <c r="F178" s="4">
        <v>40.19</v>
      </c>
      <c r="G178" s="4">
        <f t="shared" si="2"/>
        <v>723.42</v>
      </c>
      <c r="H178" s="3" t="s">
        <v>29</v>
      </c>
    </row>
    <row r="179" spans="1:8">
      <c r="A179" s="3" t="s">
        <v>91</v>
      </c>
      <c r="B179" s="3">
        <v>2024</v>
      </c>
      <c r="C179" s="3" t="s">
        <v>79</v>
      </c>
      <c r="D179" s="14" t="s">
        <v>9</v>
      </c>
      <c r="E179" s="27">
        <v>3</v>
      </c>
      <c r="F179" s="4">
        <v>96.65</v>
      </c>
      <c r="G179" s="4">
        <f t="shared" si="2"/>
        <v>289.95000000000005</v>
      </c>
      <c r="H179" s="3" t="s">
        <v>13</v>
      </c>
    </row>
    <row r="180" spans="1:8">
      <c r="A180" s="3" t="s">
        <v>91</v>
      </c>
      <c r="B180" s="3">
        <v>2024</v>
      </c>
      <c r="C180" s="3" t="s">
        <v>79</v>
      </c>
      <c r="D180" s="14" t="s">
        <v>56</v>
      </c>
      <c r="E180" s="27">
        <v>2</v>
      </c>
      <c r="F180" s="4">
        <v>296.25</v>
      </c>
      <c r="G180" s="4">
        <f t="shared" si="2"/>
        <v>592.5</v>
      </c>
      <c r="H180" s="3" t="s">
        <v>13</v>
      </c>
    </row>
    <row r="181" spans="1:8">
      <c r="A181" s="3" t="s">
        <v>91</v>
      </c>
      <c r="B181" s="3">
        <v>2024</v>
      </c>
      <c r="C181" s="3" t="s">
        <v>79</v>
      </c>
      <c r="D181" s="14" t="s">
        <v>36</v>
      </c>
      <c r="E181" s="27">
        <v>1</v>
      </c>
      <c r="F181" s="4">
        <v>162.66999999999999</v>
      </c>
      <c r="G181" s="4">
        <f t="shared" si="2"/>
        <v>162.66999999999999</v>
      </c>
      <c r="H181" s="3" t="s">
        <v>13</v>
      </c>
    </row>
    <row r="182" spans="1:8">
      <c r="A182" s="3" t="s">
        <v>91</v>
      </c>
      <c r="B182" s="3">
        <v>2024</v>
      </c>
      <c r="C182" s="3" t="s">
        <v>79</v>
      </c>
      <c r="D182" s="17" t="s">
        <v>76</v>
      </c>
      <c r="E182" s="27">
        <v>47</v>
      </c>
      <c r="F182" s="4">
        <v>88.66</v>
      </c>
      <c r="G182" s="4">
        <f t="shared" si="2"/>
        <v>4167.0199999999995</v>
      </c>
      <c r="H182" s="3" t="s">
        <v>13</v>
      </c>
    </row>
    <row r="183" spans="1:8">
      <c r="A183" s="3" t="s">
        <v>91</v>
      </c>
      <c r="B183" s="3">
        <v>2024</v>
      </c>
      <c r="C183" s="3" t="s">
        <v>79</v>
      </c>
      <c r="D183" s="14" t="s">
        <v>4</v>
      </c>
      <c r="E183" s="27">
        <v>3</v>
      </c>
      <c r="F183" s="4">
        <v>87.06</v>
      </c>
      <c r="G183" s="4">
        <f t="shared" si="2"/>
        <v>261.18</v>
      </c>
      <c r="H183" s="3" t="s">
        <v>8</v>
      </c>
    </row>
    <row r="184" spans="1:8">
      <c r="A184" s="3" t="s">
        <v>91</v>
      </c>
      <c r="B184" s="3">
        <v>2024</v>
      </c>
      <c r="C184" s="3" t="s">
        <v>79</v>
      </c>
      <c r="D184" s="14" t="s">
        <v>3</v>
      </c>
      <c r="E184" s="27">
        <v>4</v>
      </c>
      <c r="F184" s="4">
        <v>129.29</v>
      </c>
      <c r="G184" s="4">
        <f t="shared" si="2"/>
        <v>517.16</v>
      </c>
      <c r="H184" s="3" t="s">
        <v>10</v>
      </c>
    </row>
    <row r="185" spans="1:8">
      <c r="A185" s="3" t="s">
        <v>91</v>
      </c>
      <c r="B185" s="3">
        <v>2024</v>
      </c>
      <c r="C185" s="3" t="s">
        <v>79</v>
      </c>
      <c r="D185" s="14" t="s">
        <v>81</v>
      </c>
      <c r="E185" s="27">
        <v>1</v>
      </c>
      <c r="F185" s="4">
        <v>456.88</v>
      </c>
      <c r="G185" s="4">
        <f t="shared" si="2"/>
        <v>456.88</v>
      </c>
      <c r="H185" s="3" t="s">
        <v>10</v>
      </c>
    </row>
    <row r="186" spans="1:8">
      <c r="A186" s="3" t="s">
        <v>91</v>
      </c>
      <c r="B186" s="3">
        <v>2024</v>
      </c>
      <c r="C186" s="3" t="s">
        <v>79</v>
      </c>
      <c r="D186" s="14" t="s">
        <v>71</v>
      </c>
      <c r="E186" s="27">
        <v>4</v>
      </c>
      <c r="F186" s="4">
        <v>58.68</v>
      </c>
      <c r="G186" s="4">
        <f t="shared" si="2"/>
        <v>234.72</v>
      </c>
      <c r="H186" s="3" t="s">
        <v>32</v>
      </c>
    </row>
    <row r="187" spans="1:8">
      <c r="A187" s="3" t="s">
        <v>91</v>
      </c>
      <c r="B187" s="3">
        <v>2024</v>
      </c>
      <c r="C187" s="3" t="s">
        <v>79</v>
      </c>
      <c r="D187" s="14" t="s">
        <v>30</v>
      </c>
      <c r="E187" s="27">
        <v>5</v>
      </c>
      <c r="F187" s="4">
        <v>79.3</v>
      </c>
      <c r="G187" s="4">
        <f t="shared" si="2"/>
        <v>396.5</v>
      </c>
      <c r="H187" s="3" t="s">
        <v>32</v>
      </c>
    </row>
    <row r="188" spans="1:8">
      <c r="A188" s="3" t="s">
        <v>91</v>
      </c>
      <c r="B188" s="3">
        <v>2024</v>
      </c>
      <c r="C188" s="3" t="s">
        <v>79</v>
      </c>
      <c r="D188" s="14" t="s">
        <v>31</v>
      </c>
      <c r="E188" s="27">
        <v>3</v>
      </c>
      <c r="F188" s="4">
        <v>86.22</v>
      </c>
      <c r="G188" s="4">
        <f t="shared" si="2"/>
        <v>258.65999999999997</v>
      </c>
      <c r="H188" s="3" t="s">
        <v>32</v>
      </c>
    </row>
    <row r="189" spans="1:8">
      <c r="A189" s="3" t="s">
        <v>91</v>
      </c>
      <c r="B189" s="3">
        <v>2024</v>
      </c>
      <c r="C189" s="3" t="s">
        <v>79</v>
      </c>
      <c r="D189" s="14" t="s">
        <v>92</v>
      </c>
      <c r="E189" s="27">
        <v>2</v>
      </c>
      <c r="F189" s="4">
        <v>77.819999999999993</v>
      </c>
      <c r="G189" s="4">
        <f t="shared" si="2"/>
        <v>155.63999999999999</v>
      </c>
      <c r="H189" s="3" t="s">
        <v>32</v>
      </c>
    </row>
    <row r="190" spans="1:8">
      <c r="A190" s="3" t="s">
        <v>91</v>
      </c>
      <c r="B190" s="3">
        <v>2024</v>
      </c>
      <c r="C190" s="3" t="s">
        <v>79</v>
      </c>
      <c r="D190" s="14" t="s">
        <v>73</v>
      </c>
      <c r="E190" s="27">
        <v>3</v>
      </c>
      <c r="F190" s="4">
        <v>103.25</v>
      </c>
      <c r="G190" s="4">
        <f t="shared" si="2"/>
        <v>309.75</v>
      </c>
      <c r="H190" s="3" t="s">
        <v>32</v>
      </c>
    </row>
    <row r="191" spans="1:8">
      <c r="A191" s="3" t="s">
        <v>91</v>
      </c>
      <c r="B191" s="3">
        <v>2024</v>
      </c>
      <c r="C191" s="3" t="s">
        <v>12</v>
      </c>
      <c r="D191" s="5" t="s">
        <v>14</v>
      </c>
      <c r="E191" s="24">
        <v>7</v>
      </c>
      <c r="F191" s="4">
        <v>47.43</v>
      </c>
      <c r="G191" s="4">
        <f t="shared" si="2"/>
        <v>332.01</v>
      </c>
      <c r="H191" s="3" t="s">
        <v>13</v>
      </c>
    </row>
    <row r="192" spans="1:8">
      <c r="A192" s="3" t="s">
        <v>91</v>
      </c>
      <c r="B192" s="3">
        <v>2024</v>
      </c>
      <c r="C192" s="3" t="s">
        <v>12</v>
      </c>
      <c r="D192" s="5" t="s">
        <v>17</v>
      </c>
      <c r="E192" s="24">
        <v>4</v>
      </c>
      <c r="F192" s="4">
        <v>18.440000000000001</v>
      </c>
      <c r="G192" s="4">
        <f t="shared" si="2"/>
        <v>73.760000000000005</v>
      </c>
      <c r="H192" s="3" t="s">
        <v>15</v>
      </c>
    </row>
    <row r="193" spans="1:8">
      <c r="A193" s="3" t="s">
        <v>91</v>
      </c>
      <c r="B193" s="3">
        <v>2024</v>
      </c>
      <c r="C193" s="3" t="s">
        <v>12</v>
      </c>
      <c r="D193" s="5" t="s">
        <v>21</v>
      </c>
      <c r="E193" s="24">
        <v>6</v>
      </c>
      <c r="F193" s="4">
        <v>48.39</v>
      </c>
      <c r="G193" s="4">
        <f t="shared" si="2"/>
        <v>290.34000000000003</v>
      </c>
      <c r="H193" s="3" t="s">
        <v>15</v>
      </c>
    </row>
    <row r="194" spans="1:8">
      <c r="A194" s="3" t="s">
        <v>91</v>
      </c>
      <c r="B194" s="3">
        <v>2024</v>
      </c>
      <c r="C194" s="3" t="s">
        <v>12</v>
      </c>
      <c r="D194" s="5" t="s">
        <v>40</v>
      </c>
      <c r="E194" s="24">
        <v>5</v>
      </c>
      <c r="F194" s="4">
        <v>59.81</v>
      </c>
      <c r="G194" s="4">
        <f t="shared" si="2"/>
        <v>299.05</v>
      </c>
      <c r="H194" s="3" t="s">
        <v>15</v>
      </c>
    </row>
    <row r="195" spans="1:8">
      <c r="A195" s="3" t="s">
        <v>91</v>
      </c>
      <c r="B195" s="3">
        <v>2024</v>
      </c>
      <c r="C195" s="3" t="s">
        <v>12</v>
      </c>
      <c r="D195" s="5" t="s">
        <v>23</v>
      </c>
      <c r="E195" s="24">
        <v>3</v>
      </c>
      <c r="F195" s="4">
        <v>72.41</v>
      </c>
      <c r="G195" s="4">
        <f t="shared" ref="G195:G258" si="3">E195*F195</f>
        <v>217.23</v>
      </c>
      <c r="H195" s="3" t="s">
        <v>15</v>
      </c>
    </row>
    <row r="196" spans="1:8">
      <c r="A196" s="3" t="s">
        <v>91</v>
      </c>
      <c r="B196" s="3">
        <v>2024</v>
      </c>
      <c r="C196" s="3" t="s">
        <v>12</v>
      </c>
      <c r="D196" s="5" t="s">
        <v>19</v>
      </c>
      <c r="E196" s="24">
        <v>2</v>
      </c>
      <c r="F196" s="4">
        <v>26.49</v>
      </c>
      <c r="G196" s="4">
        <f t="shared" si="3"/>
        <v>52.98</v>
      </c>
      <c r="H196" s="3" t="s">
        <v>93</v>
      </c>
    </row>
    <row r="197" spans="1:8">
      <c r="A197" s="3" t="s">
        <v>91</v>
      </c>
      <c r="B197" s="3">
        <v>2024</v>
      </c>
      <c r="C197" s="3" t="s">
        <v>12</v>
      </c>
      <c r="D197" s="5" t="s">
        <v>20</v>
      </c>
      <c r="E197" s="24">
        <v>4</v>
      </c>
      <c r="F197" s="4">
        <v>44.53</v>
      </c>
      <c r="G197" s="4">
        <f t="shared" si="3"/>
        <v>178.12</v>
      </c>
      <c r="H197" s="3" t="s">
        <v>93</v>
      </c>
    </row>
    <row r="198" spans="1:8">
      <c r="A198" s="3" t="s">
        <v>91</v>
      </c>
      <c r="B198" s="3">
        <v>2024</v>
      </c>
      <c r="C198" s="3" t="s">
        <v>28</v>
      </c>
      <c r="D198" s="7" t="s">
        <v>27</v>
      </c>
      <c r="E198" s="24">
        <v>8</v>
      </c>
      <c r="F198" s="4">
        <v>13.45</v>
      </c>
      <c r="G198" s="4">
        <f t="shared" si="3"/>
        <v>107.6</v>
      </c>
      <c r="H198" s="3" t="s">
        <v>29</v>
      </c>
    </row>
    <row r="199" spans="1:8">
      <c r="A199" s="3" t="s">
        <v>91</v>
      </c>
      <c r="B199" s="3">
        <v>2024</v>
      </c>
      <c r="C199" s="3" t="s">
        <v>28</v>
      </c>
      <c r="D199" s="5" t="s">
        <v>85</v>
      </c>
      <c r="E199" s="24">
        <v>32</v>
      </c>
      <c r="F199" s="4">
        <v>19.68</v>
      </c>
      <c r="G199" s="4">
        <f t="shared" si="3"/>
        <v>629.76</v>
      </c>
      <c r="H199" s="3" t="s">
        <v>227</v>
      </c>
    </row>
    <row r="200" spans="1:8">
      <c r="A200" s="3" t="s">
        <v>178</v>
      </c>
      <c r="B200" s="3">
        <v>2024</v>
      </c>
      <c r="C200" s="3" t="s">
        <v>7</v>
      </c>
      <c r="D200" s="5" t="s">
        <v>71</v>
      </c>
      <c r="E200" s="29">
        <v>4</v>
      </c>
      <c r="F200" s="4">
        <f>VLOOKUP(D200,TABLE!$B$1:$C$137,2,FALSE)</f>
        <v>72.31</v>
      </c>
      <c r="G200" s="4">
        <f t="shared" si="3"/>
        <v>289.24</v>
      </c>
      <c r="H200" s="3" t="s">
        <v>32</v>
      </c>
    </row>
    <row r="201" spans="1:8">
      <c r="A201" s="3" t="s">
        <v>178</v>
      </c>
      <c r="B201" s="3">
        <v>2024</v>
      </c>
      <c r="C201" s="3" t="s">
        <v>7</v>
      </c>
      <c r="D201" s="45" t="s">
        <v>9</v>
      </c>
      <c r="E201" s="29">
        <v>13</v>
      </c>
      <c r="F201" s="4">
        <f>VLOOKUP(D201,TABLE!$B$1:$C$137,2,FALSE)</f>
        <v>114.33</v>
      </c>
      <c r="G201" s="4">
        <f t="shared" si="3"/>
        <v>1486.29</v>
      </c>
      <c r="H201" s="3" t="s">
        <v>13</v>
      </c>
    </row>
    <row r="202" spans="1:8">
      <c r="A202" s="3" t="s">
        <v>178</v>
      </c>
      <c r="B202" s="3">
        <v>2024</v>
      </c>
      <c r="C202" s="3" t="s">
        <v>7</v>
      </c>
      <c r="D202" s="45" t="s">
        <v>81</v>
      </c>
      <c r="E202" s="29">
        <v>5</v>
      </c>
      <c r="F202" s="4">
        <f>VLOOKUP(D202,TABLE!$B$1:$C$137,2,FALSE)</f>
        <v>358.99</v>
      </c>
      <c r="G202" s="4">
        <f t="shared" si="3"/>
        <v>1794.95</v>
      </c>
      <c r="H202" s="3" t="s">
        <v>225</v>
      </c>
    </row>
    <row r="203" spans="1:8">
      <c r="A203" s="3" t="s">
        <v>178</v>
      </c>
      <c r="B203" s="3">
        <v>2024</v>
      </c>
      <c r="C203" s="3" t="s">
        <v>7</v>
      </c>
      <c r="D203" s="45" t="s">
        <v>31</v>
      </c>
      <c r="E203" s="29">
        <v>2</v>
      </c>
      <c r="F203" s="4">
        <f>VLOOKUP(D203,TABLE!$B$1:$C$137,2,FALSE)</f>
        <v>85.75</v>
      </c>
      <c r="G203" s="4">
        <f t="shared" si="3"/>
        <v>171.5</v>
      </c>
      <c r="H203" s="3" t="s">
        <v>32</v>
      </c>
    </row>
    <row r="204" spans="1:8">
      <c r="A204" s="3" t="s">
        <v>178</v>
      </c>
      <c r="B204" s="3">
        <v>2024</v>
      </c>
      <c r="C204" s="3" t="s">
        <v>7</v>
      </c>
      <c r="D204" s="45" t="s">
        <v>92</v>
      </c>
      <c r="E204" s="29">
        <v>6</v>
      </c>
      <c r="F204" s="4">
        <f>VLOOKUP(D204,TABLE!$B$1:$C$137,2,FALSE)</f>
        <v>77.69</v>
      </c>
      <c r="G204" s="4">
        <f t="shared" si="3"/>
        <v>466.14</v>
      </c>
      <c r="H204" s="3" t="s">
        <v>10</v>
      </c>
    </row>
    <row r="205" spans="1:8">
      <c r="A205" s="3" t="s">
        <v>178</v>
      </c>
      <c r="B205" s="3">
        <v>2024</v>
      </c>
      <c r="C205" s="3" t="s">
        <v>7</v>
      </c>
      <c r="D205" s="45" t="s">
        <v>73</v>
      </c>
      <c r="E205" s="29">
        <v>3</v>
      </c>
      <c r="F205" s="4">
        <f>VLOOKUP(D205,TABLE!$B$1:$C$137,2,FALSE)</f>
        <v>97.22</v>
      </c>
      <c r="G205" s="4">
        <f t="shared" si="3"/>
        <v>291.65999999999997</v>
      </c>
      <c r="H205" s="3" t="s">
        <v>10</v>
      </c>
    </row>
    <row r="206" spans="1:8">
      <c r="A206" s="3" t="s">
        <v>178</v>
      </c>
      <c r="B206" s="3">
        <v>2024</v>
      </c>
      <c r="C206" s="3" t="s">
        <v>7</v>
      </c>
      <c r="D206" s="45" t="s">
        <v>3</v>
      </c>
      <c r="E206" s="29">
        <v>10</v>
      </c>
      <c r="F206" s="4">
        <f>VLOOKUP(D206,TABLE!$B$1:$C$137,2,FALSE)</f>
        <v>85</v>
      </c>
      <c r="G206" s="4">
        <f t="shared" si="3"/>
        <v>850</v>
      </c>
      <c r="H206" s="3" t="s">
        <v>10</v>
      </c>
    </row>
    <row r="207" spans="1:8">
      <c r="A207" s="3" t="s">
        <v>178</v>
      </c>
      <c r="B207" s="3">
        <v>2024</v>
      </c>
      <c r="C207" s="3" t="s">
        <v>12</v>
      </c>
      <c r="D207" s="71" t="s">
        <v>11</v>
      </c>
      <c r="E207" s="29">
        <v>3</v>
      </c>
      <c r="F207" s="4">
        <f>VLOOKUP(D207,TABLE!$B$1:$C$137,2,FALSE)</f>
        <v>32.32</v>
      </c>
      <c r="G207" s="4">
        <f t="shared" si="3"/>
        <v>96.960000000000008</v>
      </c>
      <c r="H207" s="3" t="s">
        <v>15</v>
      </c>
    </row>
    <row r="208" spans="1:8">
      <c r="A208" s="3" t="s">
        <v>178</v>
      </c>
      <c r="B208" s="3">
        <v>2024</v>
      </c>
      <c r="C208" s="3" t="s">
        <v>12</v>
      </c>
      <c r="D208" s="71" t="s">
        <v>37</v>
      </c>
      <c r="E208" s="29">
        <v>3</v>
      </c>
      <c r="F208" s="4">
        <f>VLOOKUP(D208,TABLE!$B$1:$C$137,2,FALSE)</f>
        <v>16.079999999999998</v>
      </c>
      <c r="G208" s="4">
        <f t="shared" si="3"/>
        <v>48.239999999999995</v>
      </c>
      <c r="H208" s="3" t="s">
        <v>15</v>
      </c>
    </row>
    <row r="209" spans="1:8">
      <c r="A209" s="3" t="s">
        <v>178</v>
      </c>
      <c r="B209" s="3">
        <v>2024</v>
      </c>
      <c r="C209" s="3" t="s">
        <v>12</v>
      </c>
      <c r="D209" s="71" t="s">
        <v>19</v>
      </c>
      <c r="E209" s="29">
        <v>2</v>
      </c>
      <c r="F209" s="4">
        <f>VLOOKUP(D209,TABLE!$B$1:$C$137,2,FALSE)</f>
        <v>23.91</v>
      </c>
      <c r="G209" s="4">
        <f t="shared" si="3"/>
        <v>47.82</v>
      </c>
      <c r="H209" s="3" t="s">
        <v>15</v>
      </c>
    </row>
    <row r="210" spans="1:8">
      <c r="A210" s="3" t="s">
        <v>178</v>
      </c>
      <c r="B210" s="3">
        <v>2024</v>
      </c>
      <c r="C210" s="3" t="s">
        <v>12</v>
      </c>
      <c r="D210" s="71" t="s">
        <v>38</v>
      </c>
      <c r="E210" s="29">
        <v>2</v>
      </c>
      <c r="F210" s="4">
        <f>VLOOKUP(D210,TABLE!$B$1:$C$137,2,FALSE)</f>
        <v>27.14</v>
      </c>
      <c r="G210" s="4">
        <f t="shared" si="3"/>
        <v>54.28</v>
      </c>
      <c r="H210" s="3" t="s">
        <v>15</v>
      </c>
    </row>
    <row r="211" spans="1:8">
      <c r="A211" s="3" t="s">
        <v>178</v>
      </c>
      <c r="B211" s="3">
        <v>2024</v>
      </c>
      <c r="C211" s="3" t="s">
        <v>12</v>
      </c>
      <c r="D211" s="71" t="s">
        <v>39</v>
      </c>
      <c r="E211" s="29">
        <v>7</v>
      </c>
      <c r="F211" s="4">
        <f>VLOOKUP(D211,TABLE!$B$1:$C$137,2,FALSE)</f>
        <v>34.83</v>
      </c>
      <c r="G211" s="4">
        <f t="shared" si="3"/>
        <v>243.81</v>
      </c>
      <c r="H211" s="3" t="s">
        <v>15</v>
      </c>
    </row>
    <row r="212" spans="1:8">
      <c r="A212" s="3" t="s">
        <v>178</v>
      </c>
      <c r="B212" s="3">
        <v>2024</v>
      </c>
      <c r="C212" s="3" t="s">
        <v>12</v>
      </c>
      <c r="D212" s="71" t="s">
        <v>20</v>
      </c>
      <c r="E212" s="29">
        <v>4</v>
      </c>
      <c r="F212" s="4">
        <f>VLOOKUP(D212,TABLE!$B$1:$C$137,2,FALSE)</f>
        <v>38.270000000000003</v>
      </c>
      <c r="G212" s="4">
        <f t="shared" si="3"/>
        <v>153.08000000000001</v>
      </c>
      <c r="H212" s="3" t="s">
        <v>15</v>
      </c>
    </row>
    <row r="213" spans="1:8">
      <c r="A213" s="3" t="s">
        <v>178</v>
      </c>
      <c r="B213" s="3">
        <v>2024</v>
      </c>
      <c r="C213" s="3" t="s">
        <v>12</v>
      </c>
      <c r="D213" s="71" t="s">
        <v>23</v>
      </c>
      <c r="E213" s="29">
        <v>2</v>
      </c>
      <c r="F213" s="4">
        <f>VLOOKUP(D213,TABLE!$B$1:$C$137,2,FALSE)</f>
        <v>64.459999999999994</v>
      </c>
      <c r="G213" s="4">
        <f t="shared" si="3"/>
        <v>128.91999999999999</v>
      </c>
      <c r="H213" s="3" t="s">
        <v>15</v>
      </c>
    </row>
    <row r="214" spans="1:8">
      <c r="A214" s="3" t="s">
        <v>178</v>
      </c>
      <c r="B214" s="3">
        <v>2024</v>
      </c>
      <c r="C214" s="3" t="s">
        <v>12</v>
      </c>
      <c r="D214" s="71" t="s">
        <v>14</v>
      </c>
      <c r="E214" s="29">
        <v>10</v>
      </c>
      <c r="F214" s="4">
        <f>VLOOKUP(D214,TABLE!$B$1:$C$137,2,FALSE)</f>
        <v>49.25</v>
      </c>
      <c r="G214" s="4">
        <f t="shared" si="3"/>
        <v>492.5</v>
      </c>
      <c r="H214" s="3" t="s">
        <v>13</v>
      </c>
    </row>
    <row r="215" spans="1:8">
      <c r="A215" s="3" t="s">
        <v>178</v>
      </c>
      <c r="B215" s="3">
        <v>2024</v>
      </c>
      <c r="C215" s="3" t="s">
        <v>12</v>
      </c>
      <c r="D215" s="71" t="s">
        <v>122</v>
      </c>
      <c r="E215" s="29">
        <v>3</v>
      </c>
      <c r="F215" s="4">
        <f>VLOOKUP(D215,TABLE!$B$1:$C$137,2,FALSE)</f>
        <v>188.56</v>
      </c>
      <c r="G215" s="4">
        <f t="shared" si="3"/>
        <v>565.68000000000006</v>
      </c>
      <c r="H215" s="3" t="s">
        <v>13</v>
      </c>
    </row>
    <row r="216" spans="1:8">
      <c r="A216" s="3" t="s">
        <v>178</v>
      </c>
      <c r="B216" s="3">
        <v>2024</v>
      </c>
      <c r="C216" s="3" t="s">
        <v>12</v>
      </c>
      <c r="D216" s="71" t="s">
        <v>19</v>
      </c>
      <c r="E216" s="29">
        <v>3</v>
      </c>
      <c r="F216" s="4">
        <f>VLOOKUP(D216,TABLE!$B$1:$C$137,2,FALSE)</f>
        <v>23.91</v>
      </c>
      <c r="G216" s="4">
        <f t="shared" si="3"/>
        <v>71.73</v>
      </c>
      <c r="H216" s="3" t="s">
        <v>93</v>
      </c>
    </row>
    <row r="217" spans="1:8">
      <c r="A217" s="3" t="s">
        <v>178</v>
      </c>
      <c r="B217" s="3">
        <v>2024</v>
      </c>
      <c r="C217" s="3" t="s">
        <v>12</v>
      </c>
      <c r="D217" s="71" t="s">
        <v>21</v>
      </c>
      <c r="E217" s="29">
        <v>4</v>
      </c>
      <c r="F217" s="4">
        <f>VLOOKUP(D217,TABLE!$B$1:$C$137,2,FALSE)</f>
        <v>44.78</v>
      </c>
      <c r="G217" s="4">
        <f t="shared" si="3"/>
        <v>179.12</v>
      </c>
      <c r="H217" s="3" t="s">
        <v>93</v>
      </c>
    </row>
    <row r="218" spans="1:8">
      <c r="A218" s="3" t="s">
        <v>178</v>
      </c>
      <c r="B218" s="3">
        <v>2024</v>
      </c>
      <c r="C218" s="3" t="s">
        <v>28</v>
      </c>
      <c r="D218" s="73" t="s">
        <v>58</v>
      </c>
      <c r="E218" s="29">
        <v>19</v>
      </c>
      <c r="F218" s="4">
        <f>VLOOKUP(D218,TABLE!$B$1:$C$137,2,FALSE)</f>
        <v>13.99</v>
      </c>
      <c r="G218" s="4">
        <f t="shared" si="3"/>
        <v>265.81</v>
      </c>
      <c r="H218" s="3" t="s">
        <v>179</v>
      </c>
    </row>
    <row r="219" spans="1:8">
      <c r="A219" s="3" t="s">
        <v>178</v>
      </c>
      <c r="B219" s="3">
        <v>2024</v>
      </c>
      <c r="C219" s="3" t="s">
        <v>28</v>
      </c>
      <c r="D219" s="86" t="s">
        <v>27</v>
      </c>
      <c r="E219" s="29">
        <v>21</v>
      </c>
      <c r="F219" s="4">
        <f>VLOOKUP(D219,TABLE!$B$1:$C$137,2,FALSE)</f>
        <v>11.59</v>
      </c>
      <c r="G219" s="4">
        <f t="shared" si="3"/>
        <v>243.39</v>
      </c>
      <c r="H219" s="3" t="s">
        <v>29</v>
      </c>
    </row>
    <row r="220" spans="1:8">
      <c r="A220" s="3" t="s">
        <v>178</v>
      </c>
      <c r="B220" s="3">
        <v>2024</v>
      </c>
      <c r="C220" s="3" t="s">
        <v>28</v>
      </c>
      <c r="D220" s="72" t="s">
        <v>114</v>
      </c>
      <c r="E220" s="29">
        <v>10</v>
      </c>
      <c r="F220" s="4">
        <f>VLOOKUP(D220,TABLE!$B$1:$C$137,2,FALSE)</f>
        <v>20.72</v>
      </c>
      <c r="G220" s="4">
        <f t="shared" si="3"/>
        <v>207.2</v>
      </c>
      <c r="H220" s="3" t="s">
        <v>227</v>
      </c>
    </row>
    <row r="221" spans="1:8">
      <c r="A221" s="3" t="s">
        <v>178</v>
      </c>
      <c r="B221" s="3">
        <v>2024</v>
      </c>
      <c r="C221" s="3" t="s">
        <v>28</v>
      </c>
      <c r="D221" s="72" t="s">
        <v>111</v>
      </c>
      <c r="E221" s="29">
        <v>2</v>
      </c>
      <c r="F221" s="4">
        <f>VLOOKUP(D221,TABLE!$B$1:$C$137,2,FALSE)</f>
        <v>23.07</v>
      </c>
      <c r="G221" s="4">
        <f t="shared" si="3"/>
        <v>46.14</v>
      </c>
      <c r="H221" s="3" t="s">
        <v>227</v>
      </c>
    </row>
    <row r="222" spans="1:8">
      <c r="A222" s="3" t="s">
        <v>178</v>
      </c>
      <c r="B222" s="3">
        <v>2024</v>
      </c>
      <c r="C222" s="3" t="s">
        <v>28</v>
      </c>
      <c r="D222" s="73" t="s">
        <v>60</v>
      </c>
      <c r="E222" s="86">
        <v>5</v>
      </c>
      <c r="F222" s="4">
        <f>VLOOKUP(D222,TABLE!$B$1:$C$137,2,FALSE)</f>
        <v>21.61</v>
      </c>
      <c r="G222" s="4">
        <f t="shared" si="3"/>
        <v>108.05</v>
      </c>
      <c r="H222" s="3" t="s">
        <v>179</v>
      </c>
    </row>
    <row r="223" spans="1:8">
      <c r="A223" s="3" t="s">
        <v>178</v>
      </c>
      <c r="B223" s="3">
        <v>2024</v>
      </c>
      <c r="C223" s="3" t="s">
        <v>28</v>
      </c>
      <c r="D223" s="73" t="s">
        <v>66</v>
      </c>
      <c r="E223" s="86">
        <v>1</v>
      </c>
      <c r="F223" s="4">
        <f>VLOOKUP(D223,TABLE!$B$1:$C$137,2,FALSE)</f>
        <v>22.61</v>
      </c>
      <c r="G223" s="4">
        <f t="shared" si="3"/>
        <v>22.61</v>
      </c>
      <c r="H223" s="3" t="s">
        <v>179</v>
      </c>
    </row>
    <row r="224" spans="1:8">
      <c r="A224" s="3" t="s">
        <v>178</v>
      </c>
      <c r="B224" s="3">
        <v>2024</v>
      </c>
      <c r="C224" s="3" t="s">
        <v>28</v>
      </c>
      <c r="D224" s="73" t="s">
        <v>102</v>
      </c>
      <c r="E224" s="86">
        <v>1</v>
      </c>
      <c r="F224" s="4">
        <f>VLOOKUP(D224,TABLE!$B$1:$C$137,2,FALSE)</f>
        <v>19.97</v>
      </c>
      <c r="G224" s="4">
        <f t="shared" si="3"/>
        <v>19.97</v>
      </c>
      <c r="H224" s="3" t="s">
        <v>179</v>
      </c>
    </row>
    <row r="225" spans="1:8">
      <c r="A225" s="3" t="s">
        <v>178</v>
      </c>
      <c r="B225" s="3">
        <v>2024</v>
      </c>
      <c r="C225" s="3" t="s">
        <v>7</v>
      </c>
      <c r="D225" s="45" t="s">
        <v>71</v>
      </c>
      <c r="E225" s="87">
        <v>2</v>
      </c>
      <c r="F225" s="4">
        <f>VLOOKUP(D225,TABLE!$B$1:$C$137,2,FALSE)</f>
        <v>72.31</v>
      </c>
      <c r="G225" s="4">
        <f t="shared" si="3"/>
        <v>144.62</v>
      </c>
      <c r="H225" s="3" t="s">
        <v>242</v>
      </c>
    </row>
    <row r="226" spans="1:8">
      <c r="A226" s="3" t="s">
        <v>178</v>
      </c>
      <c r="B226" s="3">
        <v>2024</v>
      </c>
      <c r="C226" s="3" t="s">
        <v>7</v>
      </c>
      <c r="D226" s="45" t="s">
        <v>9</v>
      </c>
      <c r="E226" s="87">
        <v>1</v>
      </c>
      <c r="F226" s="4">
        <f>VLOOKUP(D226,TABLE!$B$1:$C$137,2,FALSE)</f>
        <v>114.33</v>
      </c>
      <c r="G226" s="4">
        <f t="shared" si="3"/>
        <v>114.33</v>
      </c>
      <c r="H226" s="3" t="s">
        <v>242</v>
      </c>
    </row>
    <row r="227" spans="1:8">
      <c r="A227" s="3" t="s">
        <v>178</v>
      </c>
      <c r="B227" s="3">
        <v>2024</v>
      </c>
      <c r="C227" s="3" t="s">
        <v>7</v>
      </c>
      <c r="D227" s="45" t="s">
        <v>3</v>
      </c>
      <c r="E227" s="87">
        <v>2</v>
      </c>
      <c r="F227" s="4">
        <f>VLOOKUP(D227,TABLE!$B$1:$C$137,2,FALSE)</f>
        <v>85</v>
      </c>
      <c r="G227" s="4">
        <f t="shared" si="3"/>
        <v>170</v>
      </c>
      <c r="H227" s="3" t="s">
        <v>242</v>
      </c>
    </row>
    <row r="228" spans="1:8">
      <c r="A228" s="3" t="s">
        <v>33</v>
      </c>
      <c r="B228" s="3">
        <v>2024</v>
      </c>
      <c r="C228" s="3" t="s">
        <v>7</v>
      </c>
      <c r="D228" s="74" t="s">
        <v>228</v>
      </c>
      <c r="E228" s="87">
        <v>1</v>
      </c>
      <c r="F228" s="4">
        <f>VLOOKUP(D228,TABLE!$B$1:$C$137,2,FALSE)</f>
        <v>76.89</v>
      </c>
      <c r="G228" s="4">
        <f t="shared" si="3"/>
        <v>76.89</v>
      </c>
      <c r="H228" s="3" t="s">
        <v>13</v>
      </c>
    </row>
    <row r="229" spans="1:8">
      <c r="A229" s="3" t="s">
        <v>33</v>
      </c>
      <c r="B229" s="3">
        <v>2024</v>
      </c>
      <c r="C229" s="3" t="s">
        <v>7</v>
      </c>
      <c r="D229" s="45" t="s">
        <v>71</v>
      </c>
      <c r="E229" s="87">
        <v>6</v>
      </c>
      <c r="F229" s="4">
        <f>VLOOKUP(D229,TABLE!$B$1:$C$137,2,FALSE)</f>
        <v>72.31</v>
      </c>
      <c r="G229" s="4">
        <f t="shared" si="3"/>
        <v>433.86</v>
      </c>
      <c r="H229" s="3" t="s">
        <v>13</v>
      </c>
    </row>
    <row r="230" spans="1:8">
      <c r="A230" s="3" t="s">
        <v>33</v>
      </c>
      <c r="B230" s="3">
        <v>2024</v>
      </c>
      <c r="C230" s="3" t="s">
        <v>7</v>
      </c>
      <c r="D230" s="45" t="s">
        <v>9</v>
      </c>
      <c r="E230" s="87">
        <v>20</v>
      </c>
      <c r="F230" s="4">
        <f>VLOOKUP(D230,TABLE!$B$1:$C$137,2,FALSE)</f>
        <v>114.33</v>
      </c>
      <c r="G230" s="4">
        <f t="shared" si="3"/>
        <v>2286.6</v>
      </c>
      <c r="H230" s="3" t="s">
        <v>13</v>
      </c>
    </row>
    <row r="231" spans="1:8">
      <c r="A231" s="3" t="s">
        <v>33</v>
      </c>
      <c r="B231" s="3">
        <v>2024</v>
      </c>
      <c r="C231" s="3" t="s">
        <v>7</v>
      </c>
      <c r="D231" s="45" t="s">
        <v>233</v>
      </c>
      <c r="E231" s="87">
        <v>2</v>
      </c>
      <c r="F231" s="4">
        <f>VLOOKUP(D231,TABLE!$B$1:$C$137,2,FALSE)</f>
        <v>89.05</v>
      </c>
      <c r="G231" s="4">
        <f t="shared" si="3"/>
        <v>178.1</v>
      </c>
      <c r="H231" s="3" t="s">
        <v>13</v>
      </c>
    </row>
    <row r="232" spans="1:8">
      <c r="A232" s="3" t="s">
        <v>33</v>
      </c>
      <c r="B232" s="3">
        <v>2024</v>
      </c>
      <c r="C232" s="3" t="s">
        <v>7</v>
      </c>
      <c r="D232" s="45" t="s">
        <v>31</v>
      </c>
      <c r="E232" s="87">
        <v>13</v>
      </c>
      <c r="F232" s="4">
        <f>VLOOKUP(D232,TABLE!$B$1:$C$137,2,FALSE)</f>
        <v>85.75</v>
      </c>
      <c r="G232" s="4">
        <f t="shared" si="3"/>
        <v>1114.75</v>
      </c>
      <c r="H232" s="3" t="s">
        <v>13</v>
      </c>
    </row>
    <row r="233" spans="1:8">
      <c r="A233" s="3" t="s">
        <v>33</v>
      </c>
      <c r="B233" s="3">
        <v>2024</v>
      </c>
      <c r="C233" s="3" t="s">
        <v>7</v>
      </c>
      <c r="D233" s="45" t="s">
        <v>71</v>
      </c>
      <c r="E233" s="87">
        <v>2</v>
      </c>
      <c r="F233" s="4">
        <f>VLOOKUP(D233,TABLE!$B$1:$C$137,2,FALSE)</f>
        <v>72.31</v>
      </c>
      <c r="G233" s="4">
        <f t="shared" si="3"/>
        <v>144.62</v>
      </c>
      <c r="H233" s="3" t="s">
        <v>32</v>
      </c>
    </row>
    <row r="234" spans="1:8">
      <c r="A234" s="3" t="s">
        <v>33</v>
      </c>
      <c r="B234" s="3">
        <v>2024</v>
      </c>
      <c r="C234" s="3" t="s">
        <v>7</v>
      </c>
      <c r="D234" s="45" t="s">
        <v>30</v>
      </c>
      <c r="E234" s="87">
        <v>2</v>
      </c>
      <c r="F234" s="4">
        <f>VLOOKUP(D234,TABLE!$B$1:$C$137,2,FALSE)</f>
        <v>79.94</v>
      </c>
      <c r="G234" s="4">
        <f t="shared" si="3"/>
        <v>159.88</v>
      </c>
      <c r="H234" s="3" t="s">
        <v>32</v>
      </c>
    </row>
    <row r="235" spans="1:8">
      <c r="A235" s="3" t="s">
        <v>33</v>
      </c>
      <c r="B235" s="3">
        <v>2024</v>
      </c>
      <c r="C235" s="3" t="s">
        <v>7</v>
      </c>
      <c r="D235" s="45" t="s">
        <v>137</v>
      </c>
      <c r="E235" s="87">
        <v>2</v>
      </c>
      <c r="F235" s="4">
        <f>VLOOKUP(D235,TABLE!$B$1:$C$137,2,FALSE)</f>
        <v>108.39</v>
      </c>
      <c r="G235" s="4">
        <f t="shared" si="3"/>
        <v>216.78</v>
      </c>
      <c r="H235" s="3" t="s">
        <v>15</v>
      </c>
    </row>
    <row r="236" spans="1:8">
      <c r="A236" s="3" t="s">
        <v>33</v>
      </c>
      <c r="B236" s="3">
        <v>2024</v>
      </c>
      <c r="C236" s="3" t="s">
        <v>12</v>
      </c>
      <c r="D236" s="71" t="s">
        <v>14</v>
      </c>
      <c r="E236" s="86">
        <v>14</v>
      </c>
      <c r="F236" s="4">
        <f>VLOOKUP(D236,TABLE!$B$1:$C$137,2,FALSE)</f>
        <v>49.25</v>
      </c>
      <c r="G236" s="4">
        <f t="shared" si="3"/>
        <v>689.5</v>
      </c>
      <c r="H236" s="3" t="s">
        <v>15</v>
      </c>
    </row>
    <row r="237" spans="1:8">
      <c r="A237" s="3" t="s">
        <v>33</v>
      </c>
      <c r="B237" s="3">
        <v>2024</v>
      </c>
      <c r="C237" s="3" t="s">
        <v>12</v>
      </c>
      <c r="D237" s="71" t="s">
        <v>11</v>
      </c>
      <c r="E237" s="86">
        <v>8</v>
      </c>
      <c r="F237" s="4">
        <f>VLOOKUP(D237,TABLE!$B$1:$C$137,2,FALSE)</f>
        <v>32.32</v>
      </c>
      <c r="G237" s="4">
        <f t="shared" si="3"/>
        <v>258.56</v>
      </c>
      <c r="H237" s="3" t="s">
        <v>15</v>
      </c>
    </row>
    <row r="238" spans="1:8">
      <c r="A238" s="3" t="s">
        <v>33</v>
      </c>
      <c r="B238" s="3">
        <v>2024</v>
      </c>
      <c r="C238" s="3" t="s">
        <v>12</v>
      </c>
      <c r="D238" s="71" t="s">
        <v>19</v>
      </c>
      <c r="E238" s="86">
        <v>2</v>
      </c>
      <c r="F238" s="4">
        <f>VLOOKUP(D238,TABLE!$B$1:$C$137,2,FALSE)</f>
        <v>23.91</v>
      </c>
      <c r="G238" s="4">
        <f t="shared" si="3"/>
        <v>47.82</v>
      </c>
      <c r="H238" s="3" t="s">
        <v>15</v>
      </c>
    </row>
    <row r="239" spans="1:8">
      <c r="A239" s="3" t="s">
        <v>33</v>
      </c>
      <c r="B239" s="3">
        <v>2024</v>
      </c>
      <c r="C239" s="3" t="s">
        <v>12</v>
      </c>
      <c r="D239" s="71" t="s">
        <v>38</v>
      </c>
      <c r="E239" s="86">
        <v>1</v>
      </c>
      <c r="F239" s="4">
        <f>VLOOKUP(D239,TABLE!$B$1:$C$137,2,FALSE)</f>
        <v>27.14</v>
      </c>
      <c r="G239" s="4">
        <f t="shared" si="3"/>
        <v>27.14</v>
      </c>
      <c r="H239" s="3" t="s">
        <v>15</v>
      </c>
    </row>
    <row r="240" spans="1:8">
      <c r="A240" s="3" t="s">
        <v>33</v>
      </c>
      <c r="B240" s="3">
        <v>2024</v>
      </c>
      <c r="C240" s="3" t="s">
        <v>12</v>
      </c>
      <c r="D240" s="71" t="s">
        <v>20</v>
      </c>
      <c r="E240" s="86">
        <v>4</v>
      </c>
      <c r="F240" s="4">
        <f>VLOOKUP(D240,TABLE!$B$1:$C$137,2,FALSE)</f>
        <v>38.270000000000003</v>
      </c>
      <c r="G240" s="4">
        <f t="shared" si="3"/>
        <v>153.08000000000001</v>
      </c>
      <c r="H240" s="3" t="s">
        <v>15</v>
      </c>
    </row>
    <row r="241" spans="1:8">
      <c r="A241" s="3" t="s">
        <v>33</v>
      </c>
      <c r="B241" s="3">
        <v>2024</v>
      </c>
      <c r="C241" s="3" t="s">
        <v>12</v>
      </c>
      <c r="D241" s="71" t="s">
        <v>21</v>
      </c>
      <c r="E241" s="86">
        <v>1</v>
      </c>
      <c r="F241" s="4">
        <f>VLOOKUP(D241,TABLE!$B$1:$C$137,2,FALSE)</f>
        <v>44.78</v>
      </c>
      <c r="G241" s="4">
        <f t="shared" si="3"/>
        <v>44.78</v>
      </c>
      <c r="H241" s="3" t="s">
        <v>15</v>
      </c>
    </row>
    <row r="242" spans="1:8">
      <c r="A242" s="3" t="s">
        <v>33</v>
      </c>
      <c r="B242" s="3">
        <v>2024</v>
      </c>
      <c r="C242" s="3" t="s">
        <v>12</v>
      </c>
      <c r="D242" s="71" t="s">
        <v>40</v>
      </c>
      <c r="E242" s="86">
        <v>15</v>
      </c>
      <c r="F242" s="4">
        <f>VLOOKUP(D242,TABLE!$B$1:$C$137,2,FALSE)</f>
        <v>53.57</v>
      </c>
      <c r="G242" s="4">
        <f t="shared" si="3"/>
        <v>803.55</v>
      </c>
      <c r="H242" s="3" t="s">
        <v>15</v>
      </c>
    </row>
    <row r="243" spans="1:8">
      <c r="A243" s="3" t="s">
        <v>33</v>
      </c>
      <c r="B243" s="3">
        <v>2024</v>
      </c>
      <c r="C243" s="3" t="s">
        <v>12</v>
      </c>
      <c r="D243" s="71" t="s">
        <v>14</v>
      </c>
      <c r="E243" s="86">
        <v>2</v>
      </c>
      <c r="F243" s="4">
        <f>VLOOKUP(D243,TABLE!$B$1:$C$137,2,FALSE)</f>
        <v>49.25</v>
      </c>
      <c r="G243" s="4">
        <f t="shared" si="3"/>
        <v>98.5</v>
      </c>
      <c r="H243" s="3" t="s">
        <v>13</v>
      </c>
    </row>
    <row r="244" spans="1:8">
      <c r="A244" s="3" t="s">
        <v>33</v>
      </c>
      <c r="B244" s="3">
        <v>2024</v>
      </c>
      <c r="C244" s="3" t="s">
        <v>12</v>
      </c>
      <c r="D244" s="71" t="s">
        <v>21</v>
      </c>
      <c r="E244" s="86">
        <v>3</v>
      </c>
      <c r="F244" s="4">
        <f>VLOOKUP(D244,TABLE!$B$1:$C$137,2,FALSE)</f>
        <v>44.78</v>
      </c>
      <c r="G244" s="4">
        <f t="shared" si="3"/>
        <v>134.34</v>
      </c>
      <c r="H244" s="3" t="s">
        <v>243</v>
      </c>
    </row>
    <row r="245" spans="1:8">
      <c r="A245" s="3" t="s">
        <v>33</v>
      </c>
      <c r="B245" s="3">
        <v>2024</v>
      </c>
      <c r="C245" s="3" t="s">
        <v>28</v>
      </c>
      <c r="D245" s="88" t="s">
        <v>84</v>
      </c>
      <c r="E245" s="89">
        <v>1</v>
      </c>
      <c r="F245" s="4">
        <f>VLOOKUP(D245,TABLE!$B$1:$C$137,2,FALSE)</f>
        <v>15.38</v>
      </c>
      <c r="G245" s="4">
        <f t="shared" si="3"/>
        <v>15.38</v>
      </c>
      <c r="H245" s="3" t="s">
        <v>227</v>
      </c>
    </row>
    <row r="246" spans="1:8">
      <c r="A246" s="3" t="s">
        <v>33</v>
      </c>
      <c r="B246" s="3">
        <v>2024</v>
      </c>
      <c r="C246" s="3" t="s">
        <v>28</v>
      </c>
      <c r="D246" s="88" t="s">
        <v>113</v>
      </c>
      <c r="E246" s="89">
        <v>18</v>
      </c>
      <c r="F246" s="4">
        <f>VLOOKUP(D246,TABLE!$B$1:$C$137,2,FALSE)</f>
        <v>52.3</v>
      </c>
      <c r="G246" s="4">
        <f t="shared" si="3"/>
        <v>941.4</v>
      </c>
      <c r="H246" s="3" t="s">
        <v>227</v>
      </c>
    </row>
    <row r="247" spans="1:8">
      <c r="A247" s="3" t="s">
        <v>33</v>
      </c>
      <c r="B247" s="3">
        <v>2024</v>
      </c>
      <c r="C247" s="3" t="s">
        <v>28</v>
      </c>
      <c r="D247" s="88" t="s">
        <v>25</v>
      </c>
      <c r="E247" s="89">
        <v>1</v>
      </c>
      <c r="F247" s="4">
        <f>VLOOKUP(D247,TABLE!$B$1:$C$137,2,FALSE)</f>
        <v>20.04</v>
      </c>
      <c r="G247" s="4">
        <f t="shared" si="3"/>
        <v>20.04</v>
      </c>
      <c r="H247" s="3" t="s">
        <v>227</v>
      </c>
    </row>
    <row r="248" spans="1:8">
      <c r="A248" s="3" t="s">
        <v>33</v>
      </c>
      <c r="B248" s="3">
        <v>2024</v>
      </c>
      <c r="C248" s="3" t="s">
        <v>28</v>
      </c>
      <c r="D248" s="89" t="s">
        <v>27</v>
      </c>
      <c r="E248" s="89">
        <v>26</v>
      </c>
      <c r="F248" s="4">
        <f>VLOOKUP(D248,TABLE!$B$1:$C$137,2,FALSE)</f>
        <v>11.59</v>
      </c>
      <c r="G248" s="4">
        <f t="shared" si="3"/>
        <v>301.33999999999997</v>
      </c>
      <c r="H248" s="3" t="s">
        <v>29</v>
      </c>
    </row>
    <row r="249" spans="1:8">
      <c r="A249" s="3" t="s">
        <v>33</v>
      </c>
      <c r="B249" s="3">
        <v>2024</v>
      </c>
      <c r="C249" s="3" t="s">
        <v>28</v>
      </c>
      <c r="D249" s="88" t="s">
        <v>84</v>
      </c>
      <c r="E249" s="89">
        <v>8</v>
      </c>
      <c r="F249" s="4">
        <f>VLOOKUP(D249,TABLE!$B$1:$C$137,2,FALSE)</f>
        <v>15.38</v>
      </c>
      <c r="G249" s="4">
        <f t="shared" si="3"/>
        <v>123.04</v>
      </c>
      <c r="H249" s="3" t="s">
        <v>244</v>
      </c>
    </row>
    <row r="250" spans="1:8">
      <c r="A250" s="3" t="s">
        <v>33</v>
      </c>
      <c r="B250" s="3">
        <v>2024</v>
      </c>
      <c r="C250" s="3" t="s">
        <v>28</v>
      </c>
      <c r="D250" s="88" t="s">
        <v>25</v>
      </c>
      <c r="E250" s="89">
        <v>1</v>
      </c>
      <c r="F250" s="4">
        <f>VLOOKUP(D250,TABLE!$B$1:$C$137,2,FALSE)</f>
        <v>20.04</v>
      </c>
      <c r="G250" s="4">
        <f t="shared" si="3"/>
        <v>20.04</v>
      </c>
      <c r="H250" s="3" t="s">
        <v>244</v>
      </c>
    </row>
    <row r="251" spans="1:8">
      <c r="A251" s="3" t="s">
        <v>33</v>
      </c>
      <c r="B251" s="3">
        <v>2024</v>
      </c>
      <c r="C251" s="3" t="s">
        <v>28</v>
      </c>
      <c r="D251" s="14" t="s">
        <v>90</v>
      </c>
      <c r="E251" s="15">
        <v>9</v>
      </c>
      <c r="F251" s="4">
        <f>VLOOKUP(D251,TABLE!$B$1:$C$137,2,FALSE)</f>
        <v>40.71</v>
      </c>
      <c r="G251" s="4">
        <f t="shared" si="3"/>
        <v>366.39</v>
      </c>
      <c r="H251" s="3" t="s">
        <v>244</v>
      </c>
    </row>
    <row r="252" spans="1:8">
      <c r="A252" s="3" t="s">
        <v>33</v>
      </c>
      <c r="B252" s="3">
        <v>2024</v>
      </c>
      <c r="C252" s="3" t="s">
        <v>12</v>
      </c>
      <c r="D252" s="71" t="s">
        <v>41</v>
      </c>
      <c r="E252" s="86">
        <v>3</v>
      </c>
      <c r="F252" s="4">
        <f>VLOOKUP(D252,TABLE!$B$1:$C$137,2,FALSE)</f>
        <v>46.91</v>
      </c>
      <c r="G252" s="4">
        <f t="shared" si="3"/>
        <v>140.72999999999999</v>
      </c>
      <c r="H252" s="3" t="s">
        <v>13</v>
      </c>
    </row>
    <row r="253" spans="1:8">
      <c r="A253" s="3" t="s">
        <v>47</v>
      </c>
      <c r="B253" s="3">
        <v>2024</v>
      </c>
      <c r="C253" s="3" t="s">
        <v>7</v>
      </c>
      <c r="D253" s="45" t="s">
        <v>9</v>
      </c>
      <c r="E253" s="87">
        <v>7</v>
      </c>
      <c r="F253" s="4">
        <f>VLOOKUP(D253,TABLE!$B$1:$C$137,2,FALSE)</f>
        <v>114.33</v>
      </c>
      <c r="G253" s="4">
        <f t="shared" si="3"/>
        <v>800.31</v>
      </c>
      <c r="H253" s="3" t="s">
        <v>13</v>
      </c>
    </row>
    <row r="254" spans="1:8">
      <c r="A254" s="3" t="s">
        <v>47</v>
      </c>
      <c r="B254" s="3">
        <v>2024</v>
      </c>
      <c r="C254" s="3" t="s">
        <v>7</v>
      </c>
      <c r="D254" s="77" t="s">
        <v>57</v>
      </c>
      <c r="E254" s="87">
        <v>4</v>
      </c>
      <c r="F254" s="4">
        <f>VLOOKUP(D254,TABLE!$B$1:$C$137,2,FALSE)</f>
        <v>142.27000000000001</v>
      </c>
      <c r="G254" s="4">
        <f t="shared" si="3"/>
        <v>569.08000000000004</v>
      </c>
      <c r="H254" s="3" t="s">
        <v>13</v>
      </c>
    </row>
    <row r="255" spans="1:8">
      <c r="A255" s="3" t="s">
        <v>47</v>
      </c>
      <c r="B255" s="3">
        <v>2024</v>
      </c>
      <c r="C255" s="3" t="s">
        <v>7</v>
      </c>
      <c r="D255" s="45" t="s">
        <v>31</v>
      </c>
      <c r="E255" s="87">
        <v>14</v>
      </c>
      <c r="F255" s="4">
        <f>VLOOKUP(D255,TABLE!$B$1:$C$137,2,FALSE)</f>
        <v>85.75</v>
      </c>
      <c r="G255" s="4">
        <f t="shared" si="3"/>
        <v>1200.5</v>
      </c>
      <c r="H255" s="3" t="s">
        <v>245</v>
      </c>
    </row>
    <row r="256" spans="1:8">
      <c r="A256" s="3" t="s">
        <v>47</v>
      </c>
      <c r="B256" s="3">
        <v>2024</v>
      </c>
      <c r="C256" s="3" t="s">
        <v>7</v>
      </c>
      <c r="D256" s="45" t="s">
        <v>3</v>
      </c>
      <c r="E256" s="87">
        <v>4</v>
      </c>
      <c r="F256" s="4">
        <f>VLOOKUP(D256,TABLE!$B$1:$C$137,2,FALSE)</f>
        <v>85</v>
      </c>
      <c r="G256" s="4">
        <f t="shared" si="3"/>
        <v>340</v>
      </c>
      <c r="H256" s="3" t="s">
        <v>10</v>
      </c>
    </row>
    <row r="257" spans="1:8">
      <c r="A257" s="3" t="s">
        <v>47</v>
      </c>
      <c r="B257" s="3">
        <v>2024</v>
      </c>
      <c r="C257" s="3" t="s">
        <v>7</v>
      </c>
      <c r="D257" s="45" t="s">
        <v>247</v>
      </c>
      <c r="E257" s="87">
        <v>8</v>
      </c>
      <c r="F257" s="4">
        <v>86.52</v>
      </c>
      <c r="G257" s="4">
        <v>692.16</v>
      </c>
      <c r="H257" s="3" t="s">
        <v>246</v>
      </c>
    </row>
    <row r="258" spans="1:8">
      <c r="A258" s="3" t="s">
        <v>47</v>
      </c>
      <c r="B258" s="3">
        <v>2024</v>
      </c>
      <c r="C258" s="3" t="s">
        <v>12</v>
      </c>
      <c r="D258" s="71" t="s">
        <v>14</v>
      </c>
      <c r="E258" s="87">
        <v>9</v>
      </c>
      <c r="F258" s="4">
        <f>VLOOKUP(D258,TABLE!$B$1:$C$137,2,FALSE)</f>
        <v>49.25</v>
      </c>
      <c r="G258" s="4">
        <f t="shared" si="3"/>
        <v>443.25</v>
      </c>
      <c r="H258" s="3" t="s">
        <v>13</v>
      </c>
    </row>
    <row r="259" spans="1:8">
      <c r="A259" s="3" t="s">
        <v>47</v>
      </c>
      <c r="B259" s="3">
        <v>2024</v>
      </c>
      <c r="C259" s="3" t="s">
        <v>12</v>
      </c>
      <c r="D259" s="71" t="s">
        <v>21</v>
      </c>
      <c r="E259" s="87">
        <v>7</v>
      </c>
      <c r="F259" s="4">
        <f>VLOOKUP(D259,TABLE!$B$1:$C$137,2,FALSE)</f>
        <v>44.78</v>
      </c>
      <c r="G259" s="4">
        <f t="shared" ref="G259:G322" si="4">E259*F259</f>
        <v>313.46000000000004</v>
      </c>
      <c r="H259" s="3" t="s">
        <v>13</v>
      </c>
    </row>
    <row r="260" spans="1:8">
      <c r="A260" s="3" t="s">
        <v>47</v>
      </c>
      <c r="B260" s="3">
        <v>2024</v>
      </c>
      <c r="C260" s="3" t="s">
        <v>12</v>
      </c>
      <c r="D260" s="71" t="s">
        <v>125</v>
      </c>
      <c r="E260" s="87">
        <v>3</v>
      </c>
      <c r="F260" s="4">
        <f>VLOOKUP(D260,TABLE!$B$1:$C$137,2,FALSE)</f>
        <v>26.1</v>
      </c>
      <c r="G260" s="4">
        <f t="shared" si="4"/>
        <v>78.300000000000011</v>
      </c>
      <c r="H260" s="3" t="s">
        <v>15</v>
      </c>
    </row>
    <row r="261" spans="1:8">
      <c r="A261" s="3" t="s">
        <v>47</v>
      </c>
      <c r="B261" s="3">
        <v>2024</v>
      </c>
      <c r="C261" s="3" t="s">
        <v>12</v>
      </c>
      <c r="D261" s="71" t="s">
        <v>38</v>
      </c>
      <c r="E261" s="87">
        <v>7</v>
      </c>
      <c r="F261" s="4">
        <f>VLOOKUP(D261,TABLE!$B$1:$C$137,2,FALSE)</f>
        <v>27.14</v>
      </c>
      <c r="G261" s="4">
        <f t="shared" si="4"/>
        <v>189.98000000000002</v>
      </c>
      <c r="H261" s="3" t="s">
        <v>15</v>
      </c>
    </row>
    <row r="262" spans="1:8">
      <c r="A262" s="3" t="s">
        <v>47</v>
      </c>
      <c r="B262" s="3">
        <v>2024</v>
      </c>
      <c r="C262" s="3" t="s">
        <v>28</v>
      </c>
      <c r="D262" s="86" t="s">
        <v>241</v>
      </c>
      <c r="E262" s="86">
        <v>3</v>
      </c>
      <c r="F262" s="4">
        <f>VLOOKUP(D262,TABLE!$B$1:$C$137,2,FALSE)</f>
        <v>7.62</v>
      </c>
      <c r="G262" s="4">
        <f t="shared" si="4"/>
        <v>22.86</v>
      </c>
      <c r="H262" s="3" t="s">
        <v>29</v>
      </c>
    </row>
    <row r="263" spans="1:8">
      <c r="A263" s="3" t="s">
        <v>47</v>
      </c>
      <c r="B263" s="3">
        <v>2024</v>
      </c>
      <c r="C263" s="3" t="s">
        <v>28</v>
      </c>
      <c r="D263" s="86" t="s">
        <v>27</v>
      </c>
      <c r="E263" s="86">
        <v>10</v>
      </c>
      <c r="F263" s="4">
        <f>VLOOKUP(D263,TABLE!$B$1:$C$137,2,FALSE)</f>
        <v>11.59</v>
      </c>
      <c r="G263" s="4">
        <f t="shared" si="4"/>
        <v>115.9</v>
      </c>
      <c r="H263" s="3" t="s">
        <v>29</v>
      </c>
    </row>
    <row r="264" spans="1:8">
      <c r="A264" s="3" t="s">
        <v>55</v>
      </c>
      <c r="B264" s="3">
        <v>2024</v>
      </c>
      <c r="C264" s="3" t="s">
        <v>7</v>
      </c>
      <c r="D264" s="45" t="s">
        <v>71</v>
      </c>
      <c r="E264" s="87">
        <v>14</v>
      </c>
      <c r="F264" s="4">
        <f>VLOOKUP(D264,TABLE!$B$1:$C$137,2,FALSE)</f>
        <v>72.31</v>
      </c>
      <c r="G264" s="4">
        <f t="shared" si="4"/>
        <v>1012.34</v>
      </c>
      <c r="H264" s="3" t="s">
        <v>13</v>
      </c>
    </row>
    <row r="265" spans="1:8">
      <c r="A265" s="3" t="s">
        <v>55</v>
      </c>
      <c r="B265" s="3">
        <v>2024</v>
      </c>
      <c r="C265" s="3" t="s">
        <v>7</v>
      </c>
      <c r="D265" s="45" t="s">
        <v>9</v>
      </c>
      <c r="E265" s="87">
        <v>13</v>
      </c>
      <c r="F265" s="4">
        <f>VLOOKUP(D265,TABLE!$B$1:$C$137,2,FALSE)</f>
        <v>114.33</v>
      </c>
      <c r="G265" s="4">
        <f t="shared" si="4"/>
        <v>1486.29</v>
      </c>
      <c r="H265" s="3" t="s">
        <v>13</v>
      </c>
    </row>
    <row r="266" spans="1:8">
      <c r="A266" s="3" t="s">
        <v>55</v>
      </c>
      <c r="B266" s="3">
        <v>2024</v>
      </c>
      <c r="C266" s="3" t="s">
        <v>7</v>
      </c>
      <c r="D266" s="45" t="s">
        <v>36</v>
      </c>
      <c r="E266" s="87">
        <v>1</v>
      </c>
      <c r="F266" s="4">
        <f>VLOOKUP(D266,TABLE!$B$1:$C$137,2,FALSE)</f>
        <v>358</v>
      </c>
      <c r="G266" s="4">
        <f t="shared" si="4"/>
        <v>358</v>
      </c>
      <c r="H266" s="3" t="s">
        <v>13</v>
      </c>
    </row>
    <row r="267" spans="1:8">
      <c r="A267" s="3" t="s">
        <v>55</v>
      </c>
      <c r="B267" s="3">
        <v>2024</v>
      </c>
      <c r="C267" s="3" t="s">
        <v>7</v>
      </c>
      <c r="D267" s="45" t="s">
        <v>160</v>
      </c>
      <c r="E267" s="87">
        <v>1</v>
      </c>
      <c r="F267" s="4">
        <f>VLOOKUP(D267,TABLE!$B$1:$C$137,2,FALSE)</f>
        <v>115.36</v>
      </c>
      <c r="G267" s="4">
        <f t="shared" si="4"/>
        <v>115.36</v>
      </c>
      <c r="H267" s="3" t="s">
        <v>13</v>
      </c>
    </row>
    <row r="268" spans="1:8">
      <c r="A268" s="3" t="s">
        <v>55</v>
      </c>
      <c r="B268" s="3">
        <v>2024</v>
      </c>
      <c r="C268" s="3" t="s">
        <v>7</v>
      </c>
      <c r="D268" s="45" t="s">
        <v>73</v>
      </c>
      <c r="E268" s="87">
        <v>2</v>
      </c>
      <c r="F268" s="4">
        <f>VLOOKUP(D268,TABLE!$B$1:$C$137,2,FALSE)</f>
        <v>97.22</v>
      </c>
      <c r="G268" s="4">
        <f t="shared" si="4"/>
        <v>194.44</v>
      </c>
      <c r="H268" s="3" t="s">
        <v>13</v>
      </c>
    </row>
    <row r="269" spans="1:8">
      <c r="A269" s="3" t="s">
        <v>55</v>
      </c>
      <c r="B269" s="3">
        <v>2024</v>
      </c>
      <c r="C269" s="3" t="s">
        <v>7</v>
      </c>
      <c r="D269" s="45" t="s">
        <v>3</v>
      </c>
      <c r="E269" s="87">
        <v>6</v>
      </c>
      <c r="F269" s="4">
        <f>VLOOKUP(D269,TABLE!$B$1:$C$137,2,FALSE)</f>
        <v>85</v>
      </c>
      <c r="G269" s="4">
        <f t="shared" si="4"/>
        <v>510</v>
      </c>
      <c r="H269" s="3" t="s">
        <v>13</v>
      </c>
    </row>
    <row r="270" spans="1:8">
      <c r="A270" s="3" t="s">
        <v>55</v>
      </c>
      <c r="B270" s="3">
        <v>2024</v>
      </c>
      <c r="C270" s="3" t="s">
        <v>7</v>
      </c>
      <c r="D270" s="45" t="s">
        <v>148</v>
      </c>
      <c r="E270" s="87">
        <v>4</v>
      </c>
      <c r="F270" s="4">
        <f>VLOOKUP(D270,TABLE!$B$1:$C$137,2,FALSE)</f>
        <v>126.16</v>
      </c>
      <c r="G270" s="4">
        <f t="shared" si="4"/>
        <v>504.64</v>
      </c>
      <c r="H270" s="3" t="s">
        <v>13</v>
      </c>
    </row>
    <row r="271" spans="1:8">
      <c r="A271" s="3" t="s">
        <v>55</v>
      </c>
      <c r="B271" s="3">
        <v>2024</v>
      </c>
      <c r="C271" s="3" t="s">
        <v>7</v>
      </c>
      <c r="D271" s="45" t="s">
        <v>137</v>
      </c>
      <c r="E271" s="87">
        <v>18</v>
      </c>
      <c r="F271" s="4">
        <f>VLOOKUP(D271,TABLE!$B$1:$C$137,2,FALSE)</f>
        <v>108.39</v>
      </c>
      <c r="G271" s="4">
        <f t="shared" si="4"/>
        <v>1951.02</v>
      </c>
      <c r="H271" s="3" t="s">
        <v>13</v>
      </c>
    </row>
    <row r="272" spans="1:8">
      <c r="A272" s="3" t="s">
        <v>55</v>
      </c>
      <c r="B272" s="3">
        <v>2024</v>
      </c>
      <c r="C272" s="3" t="s">
        <v>7</v>
      </c>
      <c r="D272" s="45" t="s">
        <v>31</v>
      </c>
      <c r="E272" s="87">
        <v>28</v>
      </c>
      <c r="F272" s="4">
        <f>VLOOKUP(D272,TABLE!$B$1:$C$137,2,FALSE)</f>
        <v>85.75</v>
      </c>
      <c r="G272" s="4">
        <f t="shared" si="4"/>
        <v>2401</v>
      </c>
      <c r="H272" s="3" t="s">
        <v>245</v>
      </c>
    </row>
    <row r="273" spans="1:8">
      <c r="A273" s="3" t="s">
        <v>55</v>
      </c>
      <c r="B273" s="3">
        <v>2024</v>
      </c>
      <c r="C273" s="3" t="s">
        <v>7</v>
      </c>
      <c r="D273" s="45" t="s">
        <v>71</v>
      </c>
      <c r="E273" s="87">
        <v>4</v>
      </c>
      <c r="F273" s="4">
        <f>VLOOKUP(D273,TABLE!$B$1:$C$137,2,FALSE)</f>
        <v>72.31</v>
      </c>
      <c r="G273" s="4">
        <f t="shared" si="4"/>
        <v>289.24</v>
      </c>
      <c r="H273" s="3" t="s">
        <v>242</v>
      </c>
    </row>
    <row r="274" spans="1:8">
      <c r="A274" s="3" t="s">
        <v>55</v>
      </c>
      <c r="B274" s="3">
        <v>2024</v>
      </c>
      <c r="C274" s="3" t="s">
        <v>12</v>
      </c>
      <c r="D274" s="71" t="s">
        <v>14</v>
      </c>
      <c r="E274" s="87">
        <v>8</v>
      </c>
      <c r="F274" s="4">
        <f>VLOOKUP(D274,TABLE!$B$1:$C$137,2,FALSE)</f>
        <v>49.25</v>
      </c>
      <c r="G274" s="4">
        <f t="shared" si="4"/>
        <v>394</v>
      </c>
      <c r="H274" s="3" t="s">
        <v>15</v>
      </c>
    </row>
    <row r="275" spans="1:8">
      <c r="A275" s="3" t="s">
        <v>55</v>
      </c>
      <c r="B275" s="3">
        <v>2024</v>
      </c>
      <c r="C275" s="3" t="s">
        <v>12</v>
      </c>
      <c r="D275" s="71" t="s">
        <v>11</v>
      </c>
      <c r="E275" s="87">
        <v>10</v>
      </c>
      <c r="F275" s="4">
        <f>VLOOKUP(D275,TABLE!$B$1:$C$137,2,FALSE)</f>
        <v>32.32</v>
      </c>
      <c r="G275" s="4">
        <f t="shared" si="4"/>
        <v>323.2</v>
      </c>
      <c r="H275" s="3" t="s">
        <v>15</v>
      </c>
    </row>
    <row r="276" spans="1:8">
      <c r="A276" s="3" t="s">
        <v>55</v>
      </c>
      <c r="B276" s="3">
        <v>2024</v>
      </c>
      <c r="C276" s="3" t="s">
        <v>12</v>
      </c>
      <c r="D276" s="71" t="s">
        <v>38</v>
      </c>
      <c r="E276" s="87">
        <v>1</v>
      </c>
      <c r="F276" s="4">
        <f>VLOOKUP(D276,TABLE!$B$1:$C$137,2,FALSE)</f>
        <v>27.14</v>
      </c>
      <c r="G276" s="4">
        <f t="shared" si="4"/>
        <v>27.14</v>
      </c>
      <c r="H276" s="3" t="s">
        <v>15</v>
      </c>
    </row>
    <row r="277" spans="1:8">
      <c r="A277" s="3" t="s">
        <v>55</v>
      </c>
      <c r="B277" s="3">
        <v>2024</v>
      </c>
      <c r="C277" s="3" t="s">
        <v>12</v>
      </c>
      <c r="D277" s="71" t="s">
        <v>20</v>
      </c>
      <c r="E277" s="87">
        <v>43</v>
      </c>
      <c r="F277" s="4">
        <f>VLOOKUP(D277,TABLE!$B$1:$C$137,2,FALSE)</f>
        <v>38.270000000000003</v>
      </c>
      <c r="G277" s="4">
        <f t="shared" si="4"/>
        <v>1645.6100000000001</v>
      </c>
      <c r="H277" s="3" t="s">
        <v>15</v>
      </c>
    </row>
    <row r="278" spans="1:8">
      <c r="A278" s="3" t="s">
        <v>55</v>
      </c>
      <c r="B278" s="3">
        <v>2024</v>
      </c>
      <c r="C278" s="3" t="s">
        <v>12</v>
      </c>
      <c r="D278" s="71" t="s">
        <v>21</v>
      </c>
      <c r="E278" s="87">
        <v>3</v>
      </c>
      <c r="F278" s="4">
        <f>VLOOKUP(D278,TABLE!$B$1:$C$137,2,FALSE)</f>
        <v>44.78</v>
      </c>
      <c r="G278" s="4">
        <f t="shared" si="4"/>
        <v>134.34</v>
      </c>
      <c r="H278" s="3" t="s">
        <v>15</v>
      </c>
    </row>
    <row r="279" spans="1:8">
      <c r="A279" s="3" t="s">
        <v>55</v>
      </c>
      <c r="B279" s="3">
        <v>2024</v>
      </c>
      <c r="C279" s="3" t="s">
        <v>12</v>
      </c>
      <c r="D279" s="71" t="s">
        <v>24</v>
      </c>
      <c r="E279" s="87">
        <v>1</v>
      </c>
      <c r="F279" s="4">
        <f>VLOOKUP(D279,TABLE!$B$1:$C$137,2,FALSE)</f>
        <v>73.53</v>
      </c>
      <c r="G279" s="4">
        <f t="shared" si="4"/>
        <v>73.53</v>
      </c>
      <c r="H279" s="3" t="s">
        <v>15</v>
      </c>
    </row>
    <row r="280" spans="1:8">
      <c r="A280" s="3" t="s">
        <v>55</v>
      </c>
      <c r="B280" s="3">
        <v>2024</v>
      </c>
      <c r="C280" s="3" t="s">
        <v>12</v>
      </c>
      <c r="D280" s="71" t="s">
        <v>38</v>
      </c>
      <c r="E280" s="87">
        <v>3</v>
      </c>
      <c r="F280" s="4">
        <f>VLOOKUP(D280,TABLE!$B$1:$C$137,2,FALSE)</f>
        <v>27.14</v>
      </c>
      <c r="G280" s="4">
        <f t="shared" si="4"/>
        <v>81.42</v>
      </c>
      <c r="H280" s="3" t="s">
        <v>13</v>
      </c>
    </row>
    <row r="281" spans="1:8">
      <c r="A281" s="3" t="s">
        <v>55</v>
      </c>
      <c r="B281" s="3">
        <v>2024</v>
      </c>
      <c r="C281" s="3" t="s">
        <v>12</v>
      </c>
      <c r="D281" s="71" t="s">
        <v>40</v>
      </c>
      <c r="E281" s="87">
        <v>1</v>
      </c>
      <c r="F281" s="4">
        <f>VLOOKUP(D281,TABLE!$B$1:$C$137,2,FALSE)</f>
        <v>53.57</v>
      </c>
      <c r="G281" s="4">
        <f t="shared" si="4"/>
        <v>53.57</v>
      </c>
      <c r="H281" s="3" t="s">
        <v>13</v>
      </c>
    </row>
    <row r="282" spans="1:8">
      <c r="A282" s="3" t="s">
        <v>55</v>
      </c>
      <c r="B282" s="3">
        <v>2024</v>
      </c>
      <c r="C282" s="3" t="s">
        <v>28</v>
      </c>
      <c r="D282" s="71" t="s">
        <v>80</v>
      </c>
      <c r="E282" s="87">
        <v>3</v>
      </c>
      <c r="F282" s="4">
        <f>VLOOKUP(D282,TABLE!$B$1:$C$137,2,FALSE)</f>
        <v>11.39</v>
      </c>
      <c r="G282" s="4">
        <f t="shared" si="4"/>
        <v>34.17</v>
      </c>
      <c r="H282" s="3" t="s">
        <v>29</v>
      </c>
    </row>
    <row r="283" spans="1:8">
      <c r="A283" s="3" t="s">
        <v>55</v>
      </c>
      <c r="B283" s="3">
        <v>2024</v>
      </c>
      <c r="C283" s="3" t="s">
        <v>28</v>
      </c>
      <c r="D283" s="71" t="s">
        <v>27</v>
      </c>
      <c r="E283" s="87">
        <v>43</v>
      </c>
      <c r="F283" s="4">
        <f>VLOOKUP(D283,TABLE!$B$1:$C$137,2,FALSE)</f>
        <v>11.59</v>
      </c>
      <c r="G283" s="4">
        <f t="shared" si="4"/>
        <v>498.37</v>
      </c>
      <c r="H283" s="3" t="s">
        <v>29</v>
      </c>
    </row>
    <row r="284" spans="1:8" ht="15.75">
      <c r="A284" s="3" t="s">
        <v>61</v>
      </c>
      <c r="B284" s="3">
        <v>2024</v>
      </c>
      <c r="C284" s="3" t="s">
        <v>7</v>
      </c>
      <c r="D284" s="91" t="s">
        <v>71</v>
      </c>
      <c r="E284" s="92">
        <v>7</v>
      </c>
      <c r="F284" s="4">
        <f>VLOOKUP(D284,TABLE!$B$1:$C$137,2,FALSE)</f>
        <v>72.31</v>
      </c>
      <c r="G284" s="4">
        <f t="shared" si="4"/>
        <v>506.17</v>
      </c>
      <c r="H284" s="3" t="s">
        <v>13</v>
      </c>
    </row>
    <row r="285" spans="1:8" ht="15.75">
      <c r="A285" s="3" t="s">
        <v>61</v>
      </c>
      <c r="B285" s="3">
        <v>2024</v>
      </c>
      <c r="C285" s="3" t="s">
        <v>7</v>
      </c>
      <c r="D285" s="91" t="s">
        <v>71</v>
      </c>
      <c r="E285" s="92">
        <v>6</v>
      </c>
      <c r="F285" s="4">
        <f>VLOOKUP(D285,TABLE!$B$1:$C$137,2,FALSE)</f>
        <v>72.31</v>
      </c>
      <c r="G285" s="4">
        <f t="shared" si="4"/>
        <v>433.86</v>
      </c>
      <c r="H285" s="3" t="s">
        <v>245</v>
      </c>
    </row>
    <row r="286" spans="1:8" ht="15.75">
      <c r="A286" s="3" t="s">
        <v>61</v>
      </c>
      <c r="B286" s="3">
        <v>2024</v>
      </c>
      <c r="C286" s="3" t="s">
        <v>7</v>
      </c>
      <c r="D286" s="91" t="s">
        <v>71</v>
      </c>
      <c r="E286" s="92">
        <v>1</v>
      </c>
      <c r="F286" s="4">
        <f>VLOOKUP(D286,TABLE!$B$1:$C$137,2,FALSE)</f>
        <v>72.31</v>
      </c>
      <c r="G286" s="4">
        <f t="shared" si="4"/>
        <v>72.31</v>
      </c>
      <c r="H286" s="3" t="s">
        <v>245</v>
      </c>
    </row>
    <row r="287" spans="1:8" ht="15.75">
      <c r="A287" s="3" t="s">
        <v>61</v>
      </c>
      <c r="B287" s="3">
        <v>2024</v>
      </c>
      <c r="C287" s="3" t="s">
        <v>7</v>
      </c>
      <c r="D287" s="91" t="s">
        <v>71</v>
      </c>
      <c r="E287" s="92">
        <v>2</v>
      </c>
      <c r="F287" s="4">
        <f>VLOOKUP(D287,TABLE!$B$1:$C$137,2,FALSE)</f>
        <v>72.31</v>
      </c>
      <c r="G287" s="4">
        <f t="shared" si="4"/>
        <v>144.62</v>
      </c>
      <c r="H287" s="3" t="s">
        <v>244</v>
      </c>
    </row>
    <row r="288" spans="1:8" ht="15.75">
      <c r="A288" s="3" t="s">
        <v>61</v>
      </c>
      <c r="B288" s="3">
        <v>2024</v>
      </c>
      <c r="C288" s="3" t="s">
        <v>7</v>
      </c>
      <c r="D288" s="91" t="s">
        <v>9</v>
      </c>
      <c r="E288" s="92">
        <v>6</v>
      </c>
      <c r="F288" s="4">
        <f>VLOOKUP(D288,TABLE!$B$1:$C$137,2,FALSE)</f>
        <v>114.33</v>
      </c>
      <c r="G288" s="4">
        <f t="shared" si="4"/>
        <v>685.98</v>
      </c>
      <c r="H288" s="3" t="s">
        <v>13</v>
      </c>
    </row>
    <row r="289" spans="1:8" ht="15.75">
      <c r="A289" s="3" t="s">
        <v>61</v>
      </c>
      <c r="B289" s="3">
        <v>2024</v>
      </c>
      <c r="C289" s="3" t="s">
        <v>7</v>
      </c>
      <c r="D289" s="91" t="s">
        <v>4</v>
      </c>
      <c r="E289" s="92">
        <v>1</v>
      </c>
      <c r="F289" s="4">
        <f>VLOOKUP(D289,TABLE!$B$1:$C$137,2,FALSE)</f>
        <v>94.25</v>
      </c>
      <c r="G289" s="4">
        <f t="shared" si="4"/>
        <v>94.25</v>
      </c>
      <c r="H289" s="3" t="s">
        <v>13</v>
      </c>
    </row>
    <row r="290" spans="1:8" ht="15.75">
      <c r="A290" s="3" t="s">
        <v>61</v>
      </c>
      <c r="B290" s="3">
        <v>2024</v>
      </c>
      <c r="C290" s="3" t="s">
        <v>7</v>
      </c>
      <c r="D290" s="91" t="s">
        <v>31</v>
      </c>
      <c r="E290" s="92">
        <v>16</v>
      </c>
      <c r="F290" s="4">
        <f>VLOOKUP(D290,TABLE!$B$1:$C$137,2,FALSE)</f>
        <v>85.75</v>
      </c>
      <c r="G290" s="4">
        <f t="shared" si="4"/>
        <v>1372</v>
      </c>
      <c r="H290" s="3" t="s">
        <v>13</v>
      </c>
    </row>
    <row r="291" spans="1:8" ht="15.75">
      <c r="A291" s="3" t="s">
        <v>61</v>
      </c>
      <c r="B291" s="3">
        <v>2024</v>
      </c>
      <c r="C291" s="3" t="s">
        <v>7</v>
      </c>
      <c r="D291" s="91" t="s">
        <v>3</v>
      </c>
      <c r="E291" s="92">
        <v>2</v>
      </c>
      <c r="F291" s="4">
        <f>VLOOKUP(D291,TABLE!$B$1:$C$137,2,FALSE)</f>
        <v>85</v>
      </c>
      <c r="G291" s="4">
        <f t="shared" si="4"/>
        <v>170</v>
      </c>
      <c r="H291" s="3" t="s">
        <v>13</v>
      </c>
    </row>
    <row r="292" spans="1:8" ht="15.75">
      <c r="A292" s="3" t="s">
        <v>61</v>
      </c>
      <c r="B292" s="3">
        <v>2024</v>
      </c>
      <c r="C292" s="3" t="s">
        <v>7</v>
      </c>
      <c r="D292" s="91" t="s">
        <v>148</v>
      </c>
      <c r="E292" s="92">
        <v>3</v>
      </c>
      <c r="F292" s="4">
        <f>VLOOKUP(D292,TABLE!$B$1:$C$137,2,FALSE)</f>
        <v>126.16</v>
      </c>
      <c r="G292" s="4">
        <f t="shared" si="4"/>
        <v>378.48</v>
      </c>
      <c r="H292" s="3" t="s">
        <v>13</v>
      </c>
    </row>
    <row r="293" spans="1:8" ht="15.75">
      <c r="A293" s="3" t="s">
        <v>61</v>
      </c>
      <c r="B293" s="3">
        <v>2024</v>
      </c>
      <c r="C293" s="3" t="s">
        <v>7</v>
      </c>
      <c r="D293" s="91" t="s">
        <v>136</v>
      </c>
      <c r="E293" s="92">
        <v>3</v>
      </c>
      <c r="F293" s="4">
        <f>VLOOKUP(D293,TABLE!$B$1:$C$137,2,FALSE)</f>
        <v>181.83</v>
      </c>
      <c r="G293" s="4">
        <f t="shared" si="4"/>
        <v>545.49</v>
      </c>
      <c r="H293" s="3" t="s">
        <v>13</v>
      </c>
    </row>
    <row r="294" spans="1:8" ht="15.75">
      <c r="A294" s="3" t="s">
        <v>61</v>
      </c>
      <c r="B294" s="3">
        <v>2024</v>
      </c>
      <c r="C294" s="3" t="s">
        <v>7</v>
      </c>
      <c r="D294" s="91" t="s">
        <v>56</v>
      </c>
      <c r="E294" s="92">
        <v>2</v>
      </c>
      <c r="F294" s="4">
        <f>VLOOKUP(D294,TABLE!$B$1:$C$137,2,FALSE)</f>
        <v>241.14</v>
      </c>
      <c r="G294" s="4">
        <f t="shared" si="4"/>
        <v>482.28</v>
      </c>
      <c r="H294" s="3" t="s">
        <v>179</v>
      </c>
    </row>
    <row r="295" spans="1:8" ht="15.75">
      <c r="A295" s="3" t="s">
        <v>61</v>
      </c>
      <c r="B295" s="3">
        <v>2024</v>
      </c>
      <c r="C295" s="3" t="s">
        <v>7</v>
      </c>
      <c r="D295" s="91" t="s">
        <v>36</v>
      </c>
      <c r="E295" s="92">
        <v>4</v>
      </c>
      <c r="F295" s="4">
        <f>VLOOKUP(D295,TABLE!$B$1:$C$137,2,FALSE)</f>
        <v>358</v>
      </c>
      <c r="G295" s="4">
        <f t="shared" si="4"/>
        <v>1432</v>
      </c>
      <c r="H295" s="3" t="s">
        <v>179</v>
      </c>
    </row>
    <row r="296" spans="1:8" ht="15.75">
      <c r="A296" s="3" t="s">
        <v>61</v>
      </c>
      <c r="B296" s="3">
        <v>2024</v>
      </c>
      <c r="C296" s="3" t="s">
        <v>7</v>
      </c>
      <c r="D296" s="91" t="s">
        <v>31</v>
      </c>
      <c r="E296" s="92">
        <v>1</v>
      </c>
      <c r="F296" s="4">
        <f>VLOOKUP(D296,TABLE!$B$1:$C$137,2,FALSE)</f>
        <v>85.75</v>
      </c>
      <c r="G296" s="4">
        <f t="shared" si="4"/>
        <v>85.75</v>
      </c>
      <c r="H296" s="3" t="s">
        <v>245</v>
      </c>
    </row>
    <row r="297" spans="1:8" ht="15.75">
      <c r="A297" s="3" t="s">
        <v>61</v>
      </c>
      <c r="B297" s="3">
        <v>2024</v>
      </c>
      <c r="C297" s="3" t="s">
        <v>7</v>
      </c>
      <c r="D297" s="91" t="s">
        <v>252</v>
      </c>
      <c r="E297" s="92">
        <v>1</v>
      </c>
      <c r="F297" s="4">
        <f>VLOOKUP(D297,TABLE!$B$1:$C$137,2,FALSE)</f>
        <v>48.76</v>
      </c>
      <c r="G297" s="4">
        <f t="shared" si="4"/>
        <v>48.76</v>
      </c>
      <c r="H297" s="3" t="s">
        <v>242</v>
      </c>
    </row>
    <row r="298" spans="1:8" ht="15.75">
      <c r="A298" s="3" t="s">
        <v>61</v>
      </c>
      <c r="B298" s="3">
        <v>2024</v>
      </c>
      <c r="C298" s="3" t="s">
        <v>7</v>
      </c>
      <c r="D298" s="91" t="s">
        <v>56</v>
      </c>
      <c r="E298" s="92">
        <v>6</v>
      </c>
      <c r="F298" s="4">
        <f>VLOOKUP(D298,TABLE!$B$1:$C$137,2,FALSE)</f>
        <v>241.14</v>
      </c>
      <c r="G298" s="4">
        <f t="shared" si="4"/>
        <v>1446.84</v>
      </c>
      <c r="H298" s="3" t="s">
        <v>244</v>
      </c>
    </row>
    <row r="299" spans="1:8" ht="15.75">
      <c r="A299" s="3" t="s">
        <v>61</v>
      </c>
      <c r="B299" s="3">
        <v>2024</v>
      </c>
      <c r="C299" s="3" t="s">
        <v>7</v>
      </c>
      <c r="D299" s="91" t="s">
        <v>36</v>
      </c>
      <c r="E299" s="92">
        <v>1</v>
      </c>
      <c r="F299" s="4">
        <f>VLOOKUP(D299,TABLE!$B$1:$C$137,2,FALSE)</f>
        <v>358</v>
      </c>
      <c r="G299" s="4">
        <f t="shared" si="4"/>
        <v>358</v>
      </c>
      <c r="H299" s="3" t="s">
        <v>244</v>
      </c>
    </row>
    <row r="300" spans="1:8" ht="15.75">
      <c r="A300" s="3" t="s">
        <v>61</v>
      </c>
      <c r="B300" s="3">
        <v>2024</v>
      </c>
      <c r="C300" s="3" t="s">
        <v>7</v>
      </c>
      <c r="D300" s="91" t="s">
        <v>4</v>
      </c>
      <c r="E300" s="92">
        <v>2</v>
      </c>
      <c r="F300" s="4">
        <f>VLOOKUP(D300,TABLE!$B$1:$C$137,2,FALSE)</f>
        <v>94.25</v>
      </c>
      <c r="G300" s="4">
        <f t="shared" si="4"/>
        <v>188.5</v>
      </c>
      <c r="H300" s="3" t="s">
        <v>244</v>
      </c>
    </row>
    <row r="301" spans="1:8" ht="15.75">
      <c r="A301" s="3" t="s">
        <v>61</v>
      </c>
      <c r="B301" s="3">
        <v>2024</v>
      </c>
      <c r="C301" s="3" t="s">
        <v>7</v>
      </c>
      <c r="D301" s="91" t="s">
        <v>3</v>
      </c>
      <c r="E301" s="92">
        <v>7</v>
      </c>
      <c r="F301" s="4">
        <f>VLOOKUP(D301,TABLE!$B$1:$C$137,2,FALSE)</f>
        <v>85</v>
      </c>
      <c r="G301" s="4">
        <f t="shared" si="4"/>
        <v>595</v>
      </c>
      <c r="H301" s="3" t="s">
        <v>244</v>
      </c>
    </row>
    <row r="302" spans="1:8" ht="15.75">
      <c r="A302" s="3" t="s">
        <v>61</v>
      </c>
      <c r="B302" s="3">
        <v>2024</v>
      </c>
      <c r="C302" s="3" t="s">
        <v>7</v>
      </c>
      <c r="D302" s="91" t="s">
        <v>148</v>
      </c>
      <c r="E302" s="92">
        <v>6</v>
      </c>
      <c r="F302" s="4">
        <f>VLOOKUP(D302,TABLE!$B$1:$C$137,2,FALSE)</f>
        <v>126.16</v>
      </c>
      <c r="G302" s="4">
        <f t="shared" si="4"/>
        <v>756.96</v>
      </c>
      <c r="H302" s="3" t="s">
        <v>244</v>
      </c>
    </row>
    <row r="303" spans="1:8" ht="15.75">
      <c r="A303" s="3" t="s">
        <v>61</v>
      </c>
      <c r="B303" s="3">
        <v>2024</v>
      </c>
      <c r="C303" s="3" t="s">
        <v>7</v>
      </c>
      <c r="D303" s="91" t="s">
        <v>136</v>
      </c>
      <c r="E303" s="92">
        <v>3</v>
      </c>
      <c r="F303" s="4">
        <f>VLOOKUP(D303,TABLE!$B$1:$C$137,2,FALSE)</f>
        <v>181.83</v>
      </c>
      <c r="G303" s="4">
        <f t="shared" si="4"/>
        <v>545.49</v>
      </c>
      <c r="H303" s="3" t="s">
        <v>244</v>
      </c>
    </row>
    <row r="304" spans="1:8" ht="15.75">
      <c r="A304" s="3" t="s">
        <v>61</v>
      </c>
      <c r="B304" s="3">
        <v>2024</v>
      </c>
      <c r="C304" s="3" t="s">
        <v>12</v>
      </c>
      <c r="D304" s="71" t="s">
        <v>14</v>
      </c>
      <c r="E304" s="92">
        <v>8</v>
      </c>
      <c r="F304" s="4">
        <f>VLOOKUP(D304,TABLE!$B$1:$C$137,2,FALSE)</f>
        <v>49.25</v>
      </c>
      <c r="G304" s="4">
        <f t="shared" si="4"/>
        <v>394</v>
      </c>
      <c r="H304" s="3" t="s">
        <v>15</v>
      </c>
    </row>
    <row r="305" spans="1:8" ht="15.75">
      <c r="A305" s="3" t="s">
        <v>61</v>
      </c>
      <c r="B305" s="3">
        <v>2024</v>
      </c>
      <c r="C305" s="3" t="s">
        <v>12</v>
      </c>
      <c r="D305" s="71" t="s">
        <v>11</v>
      </c>
      <c r="E305" s="92">
        <v>5</v>
      </c>
      <c r="F305" s="4">
        <f>VLOOKUP(D305,TABLE!$B$1:$C$137,2,FALSE)</f>
        <v>32.32</v>
      </c>
      <c r="G305" s="4">
        <f t="shared" si="4"/>
        <v>161.6</v>
      </c>
      <c r="H305" s="3" t="s">
        <v>15</v>
      </c>
    </row>
    <row r="306" spans="1:8" ht="15.75">
      <c r="A306" s="3" t="s">
        <v>61</v>
      </c>
      <c r="B306" s="3">
        <v>2024</v>
      </c>
      <c r="C306" s="3" t="s">
        <v>12</v>
      </c>
      <c r="D306" s="71" t="s">
        <v>19</v>
      </c>
      <c r="E306" s="92">
        <v>3</v>
      </c>
      <c r="F306" s="4">
        <f>VLOOKUP(D306,TABLE!$B$1:$C$137,2,FALSE)</f>
        <v>23.91</v>
      </c>
      <c r="G306" s="4">
        <f t="shared" si="4"/>
        <v>71.73</v>
      </c>
      <c r="H306" s="3" t="s">
        <v>15</v>
      </c>
    </row>
    <row r="307" spans="1:8" ht="15.75">
      <c r="A307" s="3" t="s">
        <v>61</v>
      </c>
      <c r="B307" s="3">
        <v>2024</v>
      </c>
      <c r="C307" s="3" t="s">
        <v>12</v>
      </c>
      <c r="D307" s="71" t="s">
        <v>38</v>
      </c>
      <c r="E307" s="92">
        <v>6</v>
      </c>
      <c r="F307" s="4">
        <f>VLOOKUP(D307,TABLE!$B$1:$C$137,2,FALSE)</f>
        <v>27.14</v>
      </c>
      <c r="G307" s="4">
        <f t="shared" si="4"/>
        <v>162.84</v>
      </c>
      <c r="H307" s="3" t="s">
        <v>15</v>
      </c>
    </row>
    <row r="308" spans="1:8" ht="15.75">
      <c r="A308" s="3" t="s">
        <v>61</v>
      </c>
      <c r="B308" s="3">
        <v>2024</v>
      </c>
      <c r="C308" s="3" t="s">
        <v>12</v>
      </c>
      <c r="D308" s="71" t="s">
        <v>39</v>
      </c>
      <c r="E308" s="92">
        <v>7</v>
      </c>
      <c r="F308" s="4">
        <f>VLOOKUP(D308,TABLE!$B$1:$C$137,2,FALSE)</f>
        <v>34.83</v>
      </c>
      <c r="G308" s="4">
        <f t="shared" si="4"/>
        <v>243.81</v>
      </c>
      <c r="H308" s="3" t="s">
        <v>15</v>
      </c>
    </row>
    <row r="309" spans="1:8" ht="15.75">
      <c r="A309" s="3" t="s">
        <v>61</v>
      </c>
      <c r="B309" s="3">
        <v>2024</v>
      </c>
      <c r="C309" s="3" t="s">
        <v>12</v>
      </c>
      <c r="D309" s="71" t="s">
        <v>20</v>
      </c>
      <c r="E309" s="92">
        <v>5</v>
      </c>
      <c r="F309" s="4">
        <f>VLOOKUP(D309,TABLE!$B$1:$C$137,2,FALSE)</f>
        <v>38.270000000000003</v>
      </c>
      <c r="G309" s="4">
        <f t="shared" si="4"/>
        <v>191.35000000000002</v>
      </c>
      <c r="H309" s="3" t="s">
        <v>15</v>
      </c>
    </row>
    <row r="310" spans="1:8" ht="15.75">
      <c r="A310" s="3" t="s">
        <v>61</v>
      </c>
      <c r="B310" s="3">
        <v>2024</v>
      </c>
      <c r="C310" s="3" t="s">
        <v>12</v>
      </c>
      <c r="D310" s="71" t="s">
        <v>21</v>
      </c>
      <c r="E310" s="92">
        <v>2</v>
      </c>
      <c r="F310" s="4">
        <f>VLOOKUP(D310,TABLE!$B$1:$C$137,2,FALSE)</f>
        <v>44.78</v>
      </c>
      <c r="G310" s="4">
        <f t="shared" si="4"/>
        <v>89.56</v>
      </c>
      <c r="H310" s="3" t="s">
        <v>15</v>
      </c>
    </row>
    <row r="311" spans="1:8" ht="15.75">
      <c r="A311" s="3" t="s">
        <v>61</v>
      </c>
      <c r="B311" s="3">
        <v>2024</v>
      </c>
      <c r="C311" s="3" t="s">
        <v>12</v>
      </c>
      <c r="D311" s="71" t="s">
        <v>77</v>
      </c>
      <c r="E311" s="92">
        <v>2</v>
      </c>
      <c r="F311" s="4">
        <f>VLOOKUP(D311,TABLE!$B$1:$C$137,2,FALSE)</f>
        <v>38.94</v>
      </c>
      <c r="G311" s="4">
        <f t="shared" si="4"/>
        <v>77.88</v>
      </c>
      <c r="H311" s="3" t="s">
        <v>15</v>
      </c>
    </row>
    <row r="312" spans="1:8" ht="15.75">
      <c r="A312" s="3" t="s">
        <v>61</v>
      </c>
      <c r="B312" s="3">
        <v>2024</v>
      </c>
      <c r="C312" s="3" t="s">
        <v>12</v>
      </c>
      <c r="D312" s="71" t="s">
        <v>70</v>
      </c>
      <c r="E312" s="92">
        <v>4</v>
      </c>
      <c r="F312" s="4">
        <f>VLOOKUP(D312,TABLE!$B$1:$C$137,2,FALSE)</f>
        <v>50.64</v>
      </c>
      <c r="G312" s="4">
        <f t="shared" si="4"/>
        <v>202.56</v>
      </c>
      <c r="H312" s="3" t="s">
        <v>15</v>
      </c>
    </row>
    <row r="313" spans="1:8" ht="15.75">
      <c r="A313" s="3" t="s">
        <v>61</v>
      </c>
      <c r="B313" s="3">
        <v>2024</v>
      </c>
      <c r="C313" s="3" t="s">
        <v>12</v>
      </c>
      <c r="D313" s="71" t="s">
        <v>23</v>
      </c>
      <c r="E313" s="92">
        <v>1</v>
      </c>
      <c r="F313" s="4">
        <f>VLOOKUP(D313,TABLE!$B$1:$C$137,2,FALSE)</f>
        <v>64.459999999999994</v>
      </c>
      <c r="G313" s="4">
        <f t="shared" si="4"/>
        <v>64.459999999999994</v>
      </c>
      <c r="H313" s="3" t="s">
        <v>15</v>
      </c>
    </row>
    <row r="314" spans="1:8" ht="15.75">
      <c r="A314" s="3" t="s">
        <v>61</v>
      </c>
      <c r="B314" s="3">
        <v>2024</v>
      </c>
      <c r="C314" s="3" t="s">
        <v>12</v>
      </c>
      <c r="D314" s="71" t="s">
        <v>19</v>
      </c>
      <c r="E314" s="92">
        <v>1</v>
      </c>
      <c r="F314" s="4">
        <f>VLOOKUP(D314,TABLE!$B$1:$C$137,2,FALSE)</f>
        <v>23.91</v>
      </c>
      <c r="G314" s="4">
        <f t="shared" si="4"/>
        <v>23.91</v>
      </c>
      <c r="H314" s="3" t="s">
        <v>13</v>
      </c>
    </row>
    <row r="315" spans="1:8" ht="15.75">
      <c r="A315" s="3" t="s">
        <v>61</v>
      </c>
      <c r="B315" s="3">
        <v>2024</v>
      </c>
      <c r="C315" s="3" t="s">
        <v>12</v>
      </c>
      <c r="D315" s="71" t="s">
        <v>21</v>
      </c>
      <c r="E315" s="92">
        <v>4</v>
      </c>
      <c r="F315" s="4">
        <f>VLOOKUP(D315,TABLE!$B$1:$C$137,2,FALSE)</f>
        <v>44.78</v>
      </c>
      <c r="G315" s="4">
        <f t="shared" si="4"/>
        <v>179.12</v>
      </c>
      <c r="H315" s="3" t="s">
        <v>13</v>
      </c>
    </row>
    <row r="316" spans="1:8" ht="15.75">
      <c r="A316" s="3" t="s">
        <v>61</v>
      </c>
      <c r="B316" s="3">
        <v>2024</v>
      </c>
      <c r="C316" s="3" t="s">
        <v>28</v>
      </c>
      <c r="D316" s="71" t="s">
        <v>84</v>
      </c>
      <c r="E316" s="92">
        <v>1</v>
      </c>
      <c r="F316" s="4">
        <f>VLOOKUP(D316,TABLE!$B$1:$C$137,2,FALSE)</f>
        <v>15.38</v>
      </c>
      <c r="G316" s="4">
        <f t="shared" si="4"/>
        <v>15.38</v>
      </c>
      <c r="H316" s="3" t="s">
        <v>29</v>
      </c>
    </row>
    <row r="317" spans="1:8" ht="15.75">
      <c r="A317" s="3" t="s">
        <v>61</v>
      </c>
      <c r="B317" s="3">
        <v>2024</v>
      </c>
      <c r="C317" s="3" t="s">
        <v>28</v>
      </c>
      <c r="D317" s="71" t="s">
        <v>27</v>
      </c>
      <c r="E317" s="92">
        <v>2</v>
      </c>
      <c r="F317" s="4">
        <f>VLOOKUP(D317,TABLE!$B$1:$C$137,2,FALSE)</f>
        <v>11.59</v>
      </c>
      <c r="G317" s="4">
        <f t="shared" si="4"/>
        <v>23.18</v>
      </c>
      <c r="H317" s="3" t="s">
        <v>29</v>
      </c>
    </row>
    <row r="318" spans="1:8">
      <c r="A318" s="3" t="s">
        <v>61</v>
      </c>
      <c r="B318" s="3">
        <v>2024</v>
      </c>
      <c r="C318" s="3" t="s">
        <v>28</v>
      </c>
      <c r="D318" s="71" t="s">
        <v>90</v>
      </c>
      <c r="E318" s="95">
        <v>1</v>
      </c>
      <c r="F318" s="4">
        <f>VLOOKUP(D318,TABLE!$B$1:$C$137,2,FALSE)</f>
        <v>40.71</v>
      </c>
      <c r="G318" s="4">
        <f t="shared" si="4"/>
        <v>40.71</v>
      </c>
      <c r="H318" s="3" t="s">
        <v>244</v>
      </c>
    </row>
    <row r="319" spans="1:8" ht="15.75">
      <c r="A319" s="3" t="s">
        <v>64</v>
      </c>
      <c r="B319" s="3">
        <v>2024</v>
      </c>
      <c r="C319" s="3" t="s">
        <v>7</v>
      </c>
      <c r="D319" s="91" t="s">
        <v>71</v>
      </c>
      <c r="E319" s="92">
        <v>6</v>
      </c>
      <c r="F319" s="4">
        <f>VLOOKUP(D319,TABLE!$B$1:$C$137,2,FALSE)</f>
        <v>72.31</v>
      </c>
      <c r="G319" s="4">
        <f t="shared" si="4"/>
        <v>433.86</v>
      </c>
      <c r="H319" s="3" t="s">
        <v>13</v>
      </c>
    </row>
    <row r="320" spans="1:8" ht="15.75">
      <c r="A320" s="3" t="s">
        <v>64</v>
      </c>
      <c r="B320" s="3">
        <v>2024</v>
      </c>
      <c r="C320" s="3" t="s">
        <v>7</v>
      </c>
      <c r="D320" s="91" t="s">
        <v>9</v>
      </c>
      <c r="E320" s="92">
        <v>5</v>
      </c>
      <c r="F320" s="4">
        <f>VLOOKUP(D320,TABLE!$B$1:$C$137,2,FALSE)</f>
        <v>114.33</v>
      </c>
      <c r="G320" s="4">
        <f t="shared" si="4"/>
        <v>571.65</v>
      </c>
      <c r="H320" s="3" t="s">
        <v>13</v>
      </c>
    </row>
    <row r="321" spans="1:8" ht="15.75">
      <c r="A321" s="3" t="s">
        <v>64</v>
      </c>
      <c r="B321" s="3">
        <v>2024</v>
      </c>
      <c r="C321" s="3" t="s">
        <v>7</v>
      </c>
      <c r="D321" s="91" t="s">
        <v>3</v>
      </c>
      <c r="E321" s="92">
        <v>1</v>
      </c>
      <c r="F321" s="4">
        <f>VLOOKUP(D321,TABLE!$B$1:$C$137,2,FALSE)</f>
        <v>85</v>
      </c>
      <c r="G321" s="4">
        <f t="shared" si="4"/>
        <v>85</v>
      </c>
      <c r="H321" s="3" t="s">
        <v>13</v>
      </c>
    </row>
    <row r="322" spans="1:8" ht="15.75">
      <c r="A322" s="3" t="s">
        <v>64</v>
      </c>
      <c r="B322" s="3">
        <v>2024</v>
      </c>
      <c r="C322" s="3" t="s">
        <v>7</v>
      </c>
      <c r="D322" s="91" t="s">
        <v>148</v>
      </c>
      <c r="E322" s="92">
        <v>5</v>
      </c>
      <c r="F322" s="4">
        <f>VLOOKUP(D322,TABLE!$B$1:$C$137,2,FALSE)</f>
        <v>126.16</v>
      </c>
      <c r="G322" s="4">
        <f t="shared" si="4"/>
        <v>630.79999999999995</v>
      </c>
      <c r="H322" s="3" t="s">
        <v>13</v>
      </c>
    </row>
    <row r="323" spans="1:8" ht="15.75">
      <c r="A323" s="3" t="s">
        <v>64</v>
      </c>
      <c r="B323" s="3">
        <v>2024</v>
      </c>
      <c r="C323" s="3" t="s">
        <v>7</v>
      </c>
      <c r="D323" s="91" t="s">
        <v>68</v>
      </c>
      <c r="E323" s="92">
        <v>14</v>
      </c>
      <c r="F323" s="4" t="e">
        <f>VLOOKUP(D323,TABLE!$B$1:$C$137,2,FALSE)</f>
        <v>#N/A</v>
      </c>
      <c r="G323" s="4" t="e">
        <f t="shared" ref="G323:G386" si="5">E323*F323</f>
        <v>#N/A</v>
      </c>
      <c r="H323" s="3" t="s">
        <v>246</v>
      </c>
    </row>
    <row r="324" spans="1:8" ht="15.75">
      <c r="A324" s="3" t="s">
        <v>64</v>
      </c>
      <c r="B324" s="3">
        <v>2024</v>
      </c>
      <c r="C324" s="3" t="s">
        <v>7</v>
      </c>
      <c r="D324" s="91" t="s">
        <v>36</v>
      </c>
      <c r="E324" s="92">
        <v>2</v>
      </c>
      <c r="F324" s="4">
        <f>VLOOKUP(D324,TABLE!$B$1:$C$137,2,FALSE)</f>
        <v>358</v>
      </c>
      <c r="G324" s="4">
        <f t="shared" si="5"/>
        <v>716</v>
      </c>
      <c r="H324" s="3" t="s">
        <v>244</v>
      </c>
    </row>
    <row r="325" spans="1:8" ht="15.75">
      <c r="A325" s="3" t="s">
        <v>64</v>
      </c>
      <c r="B325" s="3">
        <v>2024</v>
      </c>
      <c r="C325" s="3" t="s">
        <v>7</v>
      </c>
      <c r="D325" s="91" t="s">
        <v>4</v>
      </c>
      <c r="E325" s="92">
        <v>1</v>
      </c>
      <c r="F325" s="4">
        <f>VLOOKUP(D325,TABLE!$B$1:$C$137,2,FALSE)</f>
        <v>94.25</v>
      </c>
      <c r="G325" s="4">
        <f t="shared" si="5"/>
        <v>94.25</v>
      </c>
      <c r="H325" s="3" t="s">
        <v>244</v>
      </c>
    </row>
    <row r="326" spans="1:8" ht="15.75">
      <c r="A326" s="3" t="s">
        <v>64</v>
      </c>
      <c r="B326" s="3">
        <v>2024</v>
      </c>
      <c r="C326" s="3" t="s">
        <v>7</v>
      </c>
      <c r="D326" s="91" t="s">
        <v>3</v>
      </c>
      <c r="E326" s="92">
        <v>10</v>
      </c>
      <c r="F326" s="4">
        <f>VLOOKUP(D326,TABLE!$B$1:$C$137,2,FALSE)</f>
        <v>85</v>
      </c>
      <c r="G326" s="4">
        <f t="shared" si="5"/>
        <v>850</v>
      </c>
      <c r="H326" s="3" t="s">
        <v>244</v>
      </c>
    </row>
    <row r="327" spans="1:8" ht="15.75">
      <c r="A327" s="3" t="s">
        <v>64</v>
      </c>
      <c r="B327" s="3">
        <v>2024</v>
      </c>
      <c r="C327" s="3" t="s">
        <v>7</v>
      </c>
      <c r="D327" s="91" t="s">
        <v>88</v>
      </c>
      <c r="E327" s="92">
        <v>2</v>
      </c>
      <c r="F327" s="4">
        <f>VLOOKUP(D327,TABLE!$B$1:$C$137,2,FALSE)</f>
        <v>386.36</v>
      </c>
      <c r="G327" s="4">
        <f t="shared" si="5"/>
        <v>772.72</v>
      </c>
      <c r="H327" s="3" t="s">
        <v>244</v>
      </c>
    </row>
    <row r="328" spans="1:8" ht="15.75">
      <c r="A328" s="3" t="s">
        <v>64</v>
      </c>
      <c r="B328" s="3">
        <v>2024</v>
      </c>
      <c r="C328" s="3" t="s">
        <v>7</v>
      </c>
      <c r="D328" s="91" t="s">
        <v>253</v>
      </c>
      <c r="E328" s="92">
        <v>2</v>
      </c>
      <c r="F328" s="4">
        <f>VLOOKUP(D328,TABLE!$B$1:$C$137,2,FALSE)</f>
        <v>76.89</v>
      </c>
      <c r="G328" s="4">
        <f t="shared" si="5"/>
        <v>153.78</v>
      </c>
      <c r="H328" s="3" t="s">
        <v>243</v>
      </c>
    </row>
    <row r="329" spans="1:8" ht="15.75">
      <c r="A329" s="3" t="s">
        <v>64</v>
      </c>
      <c r="B329" s="3">
        <v>2024</v>
      </c>
      <c r="C329" s="3" t="s">
        <v>12</v>
      </c>
      <c r="D329" s="91" t="s">
        <v>14</v>
      </c>
      <c r="E329" s="92">
        <v>3</v>
      </c>
      <c r="F329" s="4">
        <f>VLOOKUP(D329,TABLE!$B$1:$C$137,2,FALSE)</f>
        <v>49.25</v>
      </c>
      <c r="G329" s="4">
        <f t="shared" si="5"/>
        <v>147.75</v>
      </c>
      <c r="H329" s="3" t="s">
        <v>15</v>
      </c>
    </row>
    <row r="330" spans="1:8" ht="15.75">
      <c r="A330" s="3" t="s">
        <v>64</v>
      </c>
      <c r="B330" s="3">
        <v>2024</v>
      </c>
      <c r="C330" s="3" t="s">
        <v>12</v>
      </c>
      <c r="D330" s="91" t="s">
        <v>11</v>
      </c>
      <c r="E330" s="92">
        <v>1</v>
      </c>
      <c r="F330" s="4">
        <f>VLOOKUP(D330,TABLE!$B$1:$C$137,2,FALSE)</f>
        <v>32.32</v>
      </c>
      <c r="G330" s="4">
        <f t="shared" si="5"/>
        <v>32.32</v>
      </c>
      <c r="H330" s="3" t="s">
        <v>15</v>
      </c>
    </row>
    <row r="331" spans="1:8" ht="15.75">
      <c r="A331" s="3" t="s">
        <v>64</v>
      </c>
      <c r="B331" s="3">
        <v>2024</v>
      </c>
      <c r="C331" s="3" t="s">
        <v>12</v>
      </c>
      <c r="D331" s="91" t="s">
        <v>19</v>
      </c>
      <c r="E331" s="92">
        <v>1</v>
      </c>
      <c r="F331" s="4">
        <f>VLOOKUP(D331,TABLE!$B$1:$C$137,2,FALSE)</f>
        <v>23.91</v>
      </c>
      <c r="G331" s="4">
        <f t="shared" si="5"/>
        <v>23.91</v>
      </c>
      <c r="H331" s="3" t="s">
        <v>15</v>
      </c>
    </row>
    <row r="332" spans="1:8" ht="15.75">
      <c r="A332" s="3" t="s">
        <v>64</v>
      </c>
      <c r="B332" s="3">
        <v>2024</v>
      </c>
      <c r="C332" s="3" t="s">
        <v>12</v>
      </c>
      <c r="D332" s="91" t="s">
        <v>39</v>
      </c>
      <c r="E332" s="92">
        <v>5</v>
      </c>
      <c r="F332" s="4">
        <f>VLOOKUP(D332,TABLE!$B$1:$C$137,2,FALSE)</f>
        <v>34.83</v>
      </c>
      <c r="G332" s="4">
        <f t="shared" si="5"/>
        <v>174.14999999999998</v>
      </c>
      <c r="H332" s="3" t="s">
        <v>15</v>
      </c>
    </row>
    <row r="333" spans="1:8" ht="15.75">
      <c r="A333" s="3" t="s">
        <v>64</v>
      </c>
      <c r="B333" s="3">
        <v>2024</v>
      </c>
      <c r="C333" s="3" t="s">
        <v>12</v>
      </c>
      <c r="D333" s="91" t="s">
        <v>20</v>
      </c>
      <c r="E333" s="92">
        <v>7</v>
      </c>
      <c r="F333" s="4">
        <f>VLOOKUP(D333,TABLE!$B$1:$C$137,2,FALSE)</f>
        <v>38.270000000000003</v>
      </c>
      <c r="G333" s="4">
        <f t="shared" si="5"/>
        <v>267.89000000000004</v>
      </c>
      <c r="H333" s="3" t="s">
        <v>15</v>
      </c>
    </row>
    <row r="334" spans="1:8" ht="15.75">
      <c r="A334" s="3" t="s">
        <v>64</v>
      </c>
      <c r="B334" s="3">
        <v>2024</v>
      </c>
      <c r="C334" s="3" t="s">
        <v>12</v>
      </c>
      <c r="D334" s="91" t="s">
        <v>21</v>
      </c>
      <c r="E334" s="92">
        <v>2</v>
      </c>
      <c r="F334" s="4">
        <f>VLOOKUP(D334,TABLE!$B$1:$C$137,2,FALSE)</f>
        <v>44.78</v>
      </c>
      <c r="G334" s="4">
        <f t="shared" si="5"/>
        <v>89.56</v>
      </c>
      <c r="H334" s="3" t="s">
        <v>15</v>
      </c>
    </row>
    <row r="335" spans="1:8" ht="15.75">
      <c r="A335" s="3" t="s">
        <v>64</v>
      </c>
      <c r="B335" s="3">
        <v>2024</v>
      </c>
      <c r="C335" s="3" t="s">
        <v>12</v>
      </c>
      <c r="D335" s="91" t="s">
        <v>24</v>
      </c>
      <c r="E335" s="92">
        <v>1</v>
      </c>
      <c r="F335" s="4">
        <f>VLOOKUP(D335,TABLE!$B$1:$C$137,2,FALSE)</f>
        <v>73.53</v>
      </c>
      <c r="G335" s="4">
        <f t="shared" si="5"/>
        <v>73.53</v>
      </c>
      <c r="H335" s="3" t="s">
        <v>15</v>
      </c>
    </row>
    <row r="336" spans="1:8" ht="15.75">
      <c r="A336" s="3" t="s">
        <v>64</v>
      </c>
      <c r="B336" s="3">
        <v>2024</v>
      </c>
      <c r="C336" s="3" t="s">
        <v>28</v>
      </c>
      <c r="D336" s="91" t="s">
        <v>80</v>
      </c>
      <c r="E336" s="93">
        <v>19</v>
      </c>
      <c r="F336" s="4">
        <f>VLOOKUP(D336,TABLE!$B$1:$C$137,2,FALSE)</f>
        <v>11.39</v>
      </c>
      <c r="G336" s="4">
        <f t="shared" si="5"/>
        <v>216.41000000000003</v>
      </c>
      <c r="H336" s="3" t="s">
        <v>29</v>
      </c>
    </row>
    <row r="337" spans="1:8" ht="15.75">
      <c r="A337" s="3" t="s">
        <v>64</v>
      </c>
      <c r="B337" s="3">
        <v>2024</v>
      </c>
      <c r="C337" s="3" t="s">
        <v>28</v>
      </c>
      <c r="D337" s="91" t="s">
        <v>27</v>
      </c>
      <c r="E337" s="93">
        <v>31</v>
      </c>
      <c r="F337" s="4">
        <f>VLOOKUP(D337,TABLE!$B$1:$C$137,2,FALSE)</f>
        <v>11.59</v>
      </c>
      <c r="G337" s="4">
        <f t="shared" si="5"/>
        <v>359.29</v>
      </c>
      <c r="H337" s="3" t="s">
        <v>29</v>
      </c>
    </row>
    <row r="338" spans="1:8" ht="18">
      <c r="A338" s="3" t="s">
        <v>255</v>
      </c>
      <c r="B338" s="3">
        <v>2025</v>
      </c>
      <c r="C338" s="3" t="s">
        <v>7</v>
      </c>
      <c r="D338" s="96" t="s">
        <v>254</v>
      </c>
      <c r="E338" s="90">
        <v>15</v>
      </c>
      <c r="F338" s="4">
        <f>VLOOKUP(D338,TABLE!$B$1:$C$137,2,FALSE)</f>
        <v>76.89</v>
      </c>
      <c r="G338" s="4">
        <f t="shared" si="5"/>
        <v>1153.3499999999999</v>
      </c>
      <c r="H338" s="3" t="s">
        <v>13</v>
      </c>
    </row>
    <row r="339" spans="1:8" ht="18">
      <c r="A339" s="3" t="s">
        <v>255</v>
      </c>
      <c r="B339" s="3">
        <v>2025</v>
      </c>
      <c r="C339" s="3" t="s">
        <v>7</v>
      </c>
      <c r="D339" s="97" t="s">
        <v>71</v>
      </c>
      <c r="E339" s="90">
        <v>4</v>
      </c>
      <c r="F339" s="4">
        <f>VLOOKUP(D339,TABLE!$B$1:$C$137,2,FALSE)</f>
        <v>72.31</v>
      </c>
      <c r="G339" s="4">
        <f t="shared" si="5"/>
        <v>289.24</v>
      </c>
      <c r="H339" s="3" t="s">
        <v>13</v>
      </c>
    </row>
    <row r="340" spans="1:8" ht="18">
      <c r="A340" s="3" t="s">
        <v>255</v>
      </c>
      <c r="B340" s="3">
        <v>2025</v>
      </c>
      <c r="C340" s="3" t="s">
        <v>7</v>
      </c>
      <c r="D340" s="97" t="s">
        <v>4</v>
      </c>
      <c r="E340" s="90">
        <v>2</v>
      </c>
      <c r="F340" s="4">
        <f>VLOOKUP(D340,TABLE!$B$1:$C$137,2,FALSE)</f>
        <v>94.25</v>
      </c>
      <c r="G340" s="4">
        <f t="shared" si="5"/>
        <v>188.5</v>
      </c>
      <c r="H340" s="3" t="s">
        <v>13</v>
      </c>
    </row>
    <row r="341" spans="1:8" ht="18">
      <c r="A341" s="3" t="s">
        <v>255</v>
      </c>
      <c r="B341" s="3">
        <v>2025</v>
      </c>
      <c r="C341" s="3" t="s">
        <v>7</v>
      </c>
      <c r="D341" s="97" t="s">
        <v>30</v>
      </c>
      <c r="E341" s="90">
        <v>4</v>
      </c>
      <c r="F341" s="4">
        <f>VLOOKUP(D341,TABLE!$B$1:$C$137,2,FALSE)</f>
        <v>79.94</v>
      </c>
      <c r="G341" s="4">
        <f t="shared" si="5"/>
        <v>319.76</v>
      </c>
      <c r="H341" s="3" t="s">
        <v>13</v>
      </c>
    </row>
    <row r="342" spans="1:8" ht="18">
      <c r="A342" s="3" t="s">
        <v>255</v>
      </c>
      <c r="B342" s="3">
        <v>2025</v>
      </c>
      <c r="C342" s="3" t="s">
        <v>7</v>
      </c>
      <c r="D342" s="97" t="s">
        <v>3</v>
      </c>
      <c r="E342" s="90">
        <v>1</v>
      </c>
      <c r="F342" s="4">
        <f>VLOOKUP(D342,TABLE!$B$1:$C$137,2,FALSE)</f>
        <v>85</v>
      </c>
      <c r="G342" s="4">
        <f t="shared" si="5"/>
        <v>85</v>
      </c>
      <c r="H342" s="3" t="s">
        <v>13</v>
      </c>
    </row>
    <row r="343" spans="1:8" ht="18">
      <c r="A343" s="3" t="s">
        <v>255</v>
      </c>
      <c r="B343" s="3">
        <v>2025</v>
      </c>
      <c r="C343" s="3" t="s">
        <v>7</v>
      </c>
      <c r="D343" s="97" t="s">
        <v>31</v>
      </c>
      <c r="E343" s="90">
        <v>1</v>
      </c>
      <c r="F343" s="4">
        <f>VLOOKUP(D343,TABLE!$B$1:$C$137,2,FALSE)</f>
        <v>85.75</v>
      </c>
      <c r="G343" s="4">
        <f t="shared" si="5"/>
        <v>85.75</v>
      </c>
      <c r="H343" s="3" t="s">
        <v>15</v>
      </c>
    </row>
    <row r="344" spans="1:8" ht="18">
      <c r="A344" s="3" t="s">
        <v>255</v>
      </c>
      <c r="B344" s="3">
        <v>2025</v>
      </c>
      <c r="C344" s="3" t="s">
        <v>7</v>
      </c>
      <c r="D344" s="97" t="s">
        <v>71</v>
      </c>
      <c r="E344" s="90">
        <v>3</v>
      </c>
      <c r="F344" s="4">
        <f>VLOOKUP(D344,TABLE!$B$1:$C$137,2,FALSE)</f>
        <v>72.31</v>
      </c>
      <c r="G344" s="4">
        <f t="shared" si="5"/>
        <v>216.93</v>
      </c>
      <c r="H344" s="3" t="s">
        <v>242</v>
      </c>
    </row>
    <row r="345" spans="1:8" ht="18">
      <c r="A345" s="3" t="s">
        <v>255</v>
      </c>
      <c r="B345" s="3">
        <v>2025</v>
      </c>
      <c r="C345" s="3" t="s">
        <v>7</v>
      </c>
      <c r="D345" s="91" t="s">
        <v>68</v>
      </c>
      <c r="E345" s="90">
        <v>6</v>
      </c>
      <c r="F345" s="4" t="e">
        <f>VLOOKUP(D345,TABLE!$B$1:$C$137,2,FALSE)</f>
        <v>#N/A</v>
      </c>
      <c r="G345" s="4" t="e">
        <f t="shared" si="5"/>
        <v>#N/A</v>
      </c>
      <c r="H345" s="3" t="s">
        <v>246</v>
      </c>
    </row>
    <row r="346" spans="1:8" ht="18">
      <c r="A346" s="3" t="s">
        <v>255</v>
      </c>
      <c r="B346" s="3">
        <v>2025</v>
      </c>
      <c r="C346" s="3" t="s">
        <v>7</v>
      </c>
      <c r="D346" s="97" t="s">
        <v>56</v>
      </c>
      <c r="E346" s="90">
        <v>1</v>
      </c>
      <c r="F346" s="4">
        <f>VLOOKUP(D346,TABLE!$B$1:$C$137,2,FALSE)</f>
        <v>241.14</v>
      </c>
      <c r="G346" s="4">
        <f t="shared" si="5"/>
        <v>241.14</v>
      </c>
      <c r="H346" s="3" t="s">
        <v>244</v>
      </c>
    </row>
    <row r="347" spans="1:8" ht="18">
      <c r="A347" s="3" t="s">
        <v>255</v>
      </c>
      <c r="B347" s="3">
        <v>2025</v>
      </c>
      <c r="C347" s="3" t="s">
        <v>7</v>
      </c>
      <c r="D347" s="97" t="s">
        <v>3</v>
      </c>
      <c r="E347" s="90">
        <v>6</v>
      </c>
      <c r="F347" s="4">
        <f>VLOOKUP(D347,TABLE!$B$1:$C$137,2,FALSE)</f>
        <v>85</v>
      </c>
      <c r="G347" s="4">
        <f t="shared" si="5"/>
        <v>510</v>
      </c>
      <c r="H347" s="3" t="s">
        <v>244</v>
      </c>
    </row>
    <row r="348" spans="1:8" ht="18">
      <c r="A348" s="3" t="s">
        <v>255</v>
      </c>
      <c r="B348" s="3">
        <v>2025</v>
      </c>
      <c r="C348" s="3" t="s">
        <v>12</v>
      </c>
      <c r="D348" s="71" t="s">
        <v>14</v>
      </c>
      <c r="E348" s="90">
        <v>6</v>
      </c>
      <c r="F348" s="4">
        <f>VLOOKUP(D348,TABLE!$B$1:$C$137,2,FALSE)</f>
        <v>49.25</v>
      </c>
      <c r="G348" s="4">
        <f t="shared" si="5"/>
        <v>295.5</v>
      </c>
      <c r="H348" s="3" t="s">
        <v>15</v>
      </c>
    </row>
    <row r="349" spans="1:8" ht="18">
      <c r="A349" s="3" t="s">
        <v>255</v>
      </c>
      <c r="B349" s="3">
        <v>2025</v>
      </c>
      <c r="C349" s="3" t="s">
        <v>12</v>
      </c>
      <c r="D349" s="71" t="s">
        <v>11</v>
      </c>
      <c r="E349" s="90">
        <v>7</v>
      </c>
      <c r="F349" s="4">
        <f>VLOOKUP(D349,TABLE!$B$1:$C$137,2,FALSE)</f>
        <v>32.32</v>
      </c>
      <c r="G349" s="4">
        <f t="shared" si="5"/>
        <v>226.24</v>
      </c>
      <c r="H349" s="3" t="s">
        <v>15</v>
      </c>
    </row>
    <row r="350" spans="1:8" ht="18">
      <c r="A350" s="3" t="s">
        <v>255</v>
      </c>
      <c r="B350" s="3">
        <v>2025</v>
      </c>
      <c r="C350" s="3" t="s">
        <v>12</v>
      </c>
      <c r="D350" s="71" t="s">
        <v>17</v>
      </c>
      <c r="E350" s="90">
        <v>1</v>
      </c>
      <c r="F350" s="4">
        <f>VLOOKUP(D350,TABLE!$B$1:$C$137,2,FALSE)</f>
        <v>17.8</v>
      </c>
      <c r="G350" s="4">
        <f t="shared" si="5"/>
        <v>17.8</v>
      </c>
      <c r="H350" s="3" t="s">
        <v>15</v>
      </c>
    </row>
    <row r="351" spans="1:8" ht="18">
      <c r="A351" s="3" t="s">
        <v>255</v>
      </c>
      <c r="B351" s="3">
        <v>2025</v>
      </c>
      <c r="C351" s="3" t="s">
        <v>12</v>
      </c>
      <c r="D351" s="71" t="s">
        <v>19</v>
      </c>
      <c r="E351" s="90">
        <v>2</v>
      </c>
      <c r="F351" s="4">
        <f>VLOOKUP(D351,TABLE!$B$1:$C$137,2,FALSE)</f>
        <v>23.91</v>
      </c>
      <c r="G351" s="4">
        <f t="shared" si="5"/>
        <v>47.82</v>
      </c>
      <c r="H351" s="3" t="s">
        <v>15</v>
      </c>
    </row>
    <row r="352" spans="1:8" ht="18">
      <c r="A352" s="3" t="s">
        <v>255</v>
      </c>
      <c r="B352" s="3">
        <v>2025</v>
      </c>
      <c r="C352" s="3" t="s">
        <v>12</v>
      </c>
      <c r="D352" s="97" t="s">
        <v>39</v>
      </c>
      <c r="E352" s="90">
        <v>11</v>
      </c>
      <c r="F352" s="4">
        <f>VLOOKUP(D352,TABLE!$B$1:$C$137,2,FALSE)</f>
        <v>34.83</v>
      </c>
      <c r="G352" s="4">
        <f t="shared" si="5"/>
        <v>383.13</v>
      </c>
      <c r="H352" s="3" t="s">
        <v>15</v>
      </c>
    </row>
    <row r="353" spans="1:8" ht="18">
      <c r="A353" s="3" t="s">
        <v>255</v>
      </c>
      <c r="B353" s="3">
        <v>2025</v>
      </c>
      <c r="C353" s="3" t="s">
        <v>12</v>
      </c>
      <c r="D353" s="97" t="s">
        <v>20</v>
      </c>
      <c r="E353" s="90">
        <v>5</v>
      </c>
      <c r="F353" s="4">
        <f>VLOOKUP(D353,TABLE!$B$1:$C$137,2,FALSE)</f>
        <v>38.270000000000003</v>
      </c>
      <c r="G353" s="4">
        <f t="shared" si="5"/>
        <v>191.35000000000002</v>
      </c>
      <c r="H353" s="3" t="s">
        <v>15</v>
      </c>
    </row>
    <row r="354" spans="1:8" ht="18">
      <c r="A354" s="3" t="s">
        <v>255</v>
      </c>
      <c r="B354" s="3">
        <v>2025</v>
      </c>
      <c r="C354" s="3" t="s">
        <v>12</v>
      </c>
      <c r="D354" s="97" t="s">
        <v>70</v>
      </c>
      <c r="E354" s="90">
        <v>1</v>
      </c>
      <c r="F354" s="4">
        <f>VLOOKUP(D354,TABLE!$B$1:$C$137,2,FALSE)</f>
        <v>50.64</v>
      </c>
      <c r="G354" s="4">
        <f t="shared" si="5"/>
        <v>50.64</v>
      </c>
      <c r="H354" s="3" t="s">
        <v>15</v>
      </c>
    </row>
    <row r="355" spans="1:8" ht="18">
      <c r="A355" s="3" t="s">
        <v>255</v>
      </c>
      <c r="B355" s="3">
        <v>2025</v>
      </c>
      <c r="C355" s="3" t="s">
        <v>28</v>
      </c>
      <c r="D355" s="97" t="s">
        <v>113</v>
      </c>
      <c r="E355" s="90">
        <v>39</v>
      </c>
      <c r="F355" s="4">
        <f>VLOOKUP(D355,TABLE!$B$1:$C$137,2,FALSE)</f>
        <v>52.3</v>
      </c>
      <c r="G355" s="4">
        <f t="shared" si="5"/>
        <v>2039.6999999999998</v>
      </c>
      <c r="H355" s="3" t="s">
        <v>246</v>
      </c>
    </row>
    <row r="356" spans="1:8" ht="18">
      <c r="A356" s="3" t="s">
        <v>255</v>
      </c>
      <c r="B356" s="3">
        <v>2025</v>
      </c>
      <c r="C356" s="3" t="s">
        <v>28</v>
      </c>
      <c r="D356" s="97" t="s">
        <v>27</v>
      </c>
      <c r="E356" s="90">
        <v>7</v>
      </c>
      <c r="F356" s="4">
        <f>VLOOKUP(D356,TABLE!$B$1:$C$137,2,FALSE)</f>
        <v>11.59</v>
      </c>
      <c r="G356" s="4">
        <f t="shared" si="5"/>
        <v>81.13</v>
      </c>
      <c r="H356" s="3" t="s">
        <v>29</v>
      </c>
    </row>
    <row r="357" spans="1:8" ht="18">
      <c r="A357" s="3" t="s">
        <v>255</v>
      </c>
      <c r="B357" s="3">
        <v>2025</v>
      </c>
      <c r="C357" s="3" t="s">
        <v>28</v>
      </c>
      <c r="D357" s="97" t="s">
        <v>96</v>
      </c>
      <c r="E357" s="90">
        <v>3</v>
      </c>
      <c r="F357" s="4">
        <f>VLOOKUP(D357,TABLE!$B$1:$C$137,2,FALSE)</f>
        <v>36.9</v>
      </c>
      <c r="G357" s="4">
        <f t="shared" si="5"/>
        <v>110.69999999999999</v>
      </c>
      <c r="H357" s="3" t="s">
        <v>29</v>
      </c>
    </row>
    <row r="358" spans="1:8">
      <c r="A358" s="3" t="s">
        <v>255</v>
      </c>
      <c r="B358" s="3">
        <v>2025</v>
      </c>
      <c r="C358" s="3" t="s">
        <v>28</v>
      </c>
      <c r="D358" s="94" t="s">
        <v>96</v>
      </c>
      <c r="E358" s="93">
        <v>1</v>
      </c>
      <c r="F358" s="4">
        <f>VLOOKUP(D358,TABLE!$B$1:$C$137,2,FALSE)</f>
        <v>36.9</v>
      </c>
      <c r="G358" s="4">
        <f t="shared" si="5"/>
        <v>36.9</v>
      </c>
      <c r="H358" s="3" t="s">
        <v>244</v>
      </c>
    </row>
    <row r="359" spans="1:8" ht="18">
      <c r="A359" s="3" t="s">
        <v>256</v>
      </c>
      <c r="B359" s="3">
        <v>2025</v>
      </c>
      <c r="C359" s="3" t="s">
        <v>7</v>
      </c>
      <c r="D359" s="96" t="s">
        <v>254</v>
      </c>
      <c r="E359" s="90">
        <v>1</v>
      </c>
      <c r="F359" s="4">
        <f>VLOOKUP(D359,TABLE!$B$1:$C$137,2,FALSE)</f>
        <v>76.89</v>
      </c>
      <c r="G359" s="4">
        <f t="shared" si="5"/>
        <v>76.89</v>
      </c>
      <c r="H359" s="3" t="s">
        <v>15</v>
      </c>
    </row>
    <row r="360" spans="1:8" ht="18">
      <c r="A360" s="3" t="s">
        <v>256</v>
      </c>
      <c r="B360" s="3">
        <v>2025</v>
      </c>
      <c r="C360" s="3" t="s">
        <v>7</v>
      </c>
      <c r="D360" s="97" t="s">
        <v>71</v>
      </c>
      <c r="E360" s="90">
        <v>1</v>
      </c>
      <c r="F360" s="4">
        <f>VLOOKUP(D360,TABLE!$B$1:$C$137,2,FALSE)</f>
        <v>72.31</v>
      </c>
      <c r="G360" s="4">
        <f t="shared" si="5"/>
        <v>72.31</v>
      </c>
      <c r="H360" s="3" t="s">
        <v>15</v>
      </c>
    </row>
    <row r="361" spans="1:8" ht="18">
      <c r="A361" s="3" t="s">
        <v>256</v>
      </c>
      <c r="B361" s="3">
        <v>2025</v>
      </c>
      <c r="C361" s="3" t="s">
        <v>7</v>
      </c>
      <c r="D361" s="97" t="s">
        <v>81</v>
      </c>
      <c r="E361" s="90">
        <v>3</v>
      </c>
      <c r="F361" s="4">
        <f>VLOOKUP(D361,TABLE!$B$1:$C$137,2,FALSE)</f>
        <v>358.99</v>
      </c>
      <c r="G361" s="4">
        <f t="shared" si="5"/>
        <v>1076.97</v>
      </c>
      <c r="H361" s="3" t="s">
        <v>179</v>
      </c>
    </row>
    <row r="362" spans="1:8" ht="18">
      <c r="A362" s="3" t="s">
        <v>256</v>
      </c>
      <c r="B362" s="3">
        <v>2025</v>
      </c>
      <c r="C362" s="3" t="s">
        <v>7</v>
      </c>
      <c r="D362" s="97" t="s">
        <v>68</v>
      </c>
      <c r="E362" s="90">
        <v>10</v>
      </c>
      <c r="F362" s="4" t="e">
        <f>VLOOKUP(D362,TABLE!$B$1:$C$137,2,FALSE)</f>
        <v>#N/A</v>
      </c>
      <c r="G362" s="4" t="e">
        <f t="shared" si="5"/>
        <v>#N/A</v>
      </c>
      <c r="H362" s="3" t="s">
        <v>246</v>
      </c>
    </row>
    <row r="363" spans="1:8" ht="18">
      <c r="A363" s="3" t="s">
        <v>256</v>
      </c>
      <c r="B363" s="3">
        <v>2025</v>
      </c>
      <c r="C363" s="3" t="s">
        <v>7</v>
      </c>
      <c r="D363" s="97" t="s">
        <v>133</v>
      </c>
      <c r="E363" s="90">
        <v>7</v>
      </c>
      <c r="F363" s="4">
        <f>VLOOKUP(D363,TABLE!$B$1:$C$137,2,FALSE)</f>
        <v>114.8</v>
      </c>
      <c r="G363" s="4">
        <f t="shared" si="5"/>
        <v>803.6</v>
      </c>
      <c r="H363" s="3" t="s">
        <v>246</v>
      </c>
    </row>
    <row r="364" spans="1:8" ht="18">
      <c r="A364" s="3" t="s">
        <v>256</v>
      </c>
      <c r="B364" s="3">
        <v>2025</v>
      </c>
      <c r="C364" s="3" t="s">
        <v>7</v>
      </c>
      <c r="D364" s="97" t="s">
        <v>71</v>
      </c>
      <c r="E364" s="90">
        <v>1</v>
      </c>
      <c r="F364" s="4">
        <f>VLOOKUP(D364,TABLE!$B$1:$C$137,2,FALSE)</f>
        <v>72.31</v>
      </c>
      <c r="G364" s="4">
        <f t="shared" si="5"/>
        <v>72.31</v>
      </c>
      <c r="H364" s="3" t="s">
        <v>246</v>
      </c>
    </row>
    <row r="365" spans="1:8" ht="18">
      <c r="A365" s="3" t="s">
        <v>256</v>
      </c>
      <c r="B365" s="3">
        <v>2025</v>
      </c>
      <c r="C365" s="3" t="s">
        <v>7</v>
      </c>
      <c r="D365" s="97" t="s">
        <v>3</v>
      </c>
      <c r="E365" s="90">
        <v>1</v>
      </c>
      <c r="F365" s="4">
        <f>VLOOKUP(D365,TABLE!$B$1:$C$137,2,FALSE)</f>
        <v>85</v>
      </c>
      <c r="G365" s="4">
        <f t="shared" si="5"/>
        <v>85</v>
      </c>
      <c r="H365" s="3" t="s">
        <v>246</v>
      </c>
    </row>
    <row r="366" spans="1:8" ht="18">
      <c r="A366" s="3" t="s">
        <v>256</v>
      </c>
      <c r="B366" s="3">
        <v>2025</v>
      </c>
      <c r="C366" s="3" t="s">
        <v>7</v>
      </c>
      <c r="D366" s="97" t="s">
        <v>71</v>
      </c>
      <c r="E366" s="90">
        <v>1</v>
      </c>
      <c r="F366" s="4">
        <f>VLOOKUP(D366,TABLE!$B$1:$C$137,2,FALSE)</f>
        <v>72.31</v>
      </c>
      <c r="G366" s="4">
        <f t="shared" si="5"/>
        <v>72.31</v>
      </c>
      <c r="H366" s="3" t="s">
        <v>244</v>
      </c>
    </row>
    <row r="367" spans="1:8" ht="18">
      <c r="A367" s="3" t="s">
        <v>256</v>
      </c>
      <c r="B367" s="3">
        <v>2025</v>
      </c>
      <c r="C367" s="3" t="s">
        <v>7</v>
      </c>
      <c r="D367" s="97" t="s">
        <v>9</v>
      </c>
      <c r="E367" s="90">
        <v>4</v>
      </c>
      <c r="F367" s="4">
        <f>VLOOKUP(D367,TABLE!$B$1:$C$137,2,FALSE)</f>
        <v>114.33</v>
      </c>
      <c r="G367" s="4">
        <f t="shared" si="5"/>
        <v>457.32</v>
      </c>
      <c r="H367" s="3" t="s">
        <v>244</v>
      </c>
    </row>
    <row r="368" spans="1:8" ht="18">
      <c r="A368" s="3" t="s">
        <v>256</v>
      </c>
      <c r="B368" s="3">
        <v>2025</v>
      </c>
      <c r="C368" s="3" t="s">
        <v>7</v>
      </c>
      <c r="D368" s="97" t="s">
        <v>36</v>
      </c>
      <c r="E368" s="90">
        <v>1</v>
      </c>
      <c r="F368" s="4">
        <f>VLOOKUP(D368,TABLE!$B$1:$C$137,2,FALSE)</f>
        <v>358</v>
      </c>
      <c r="G368" s="4">
        <f t="shared" si="5"/>
        <v>358</v>
      </c>
      <c r="H368" s="3" t="s">
        <v>244</v>
      </c>
    </row>
    <row r="369" spans="1:8" ht="18">
      <c r="A369" s="3" t="s">
        <v>256</v>
      </c>
      <c r="B369" s="3">
        <v>2025</v>
      </c>
      <c r="C369" s="3" t="s">
        <v>7</v>
      </c>
      <c r="D369" s="97" t="s">
        <v>4</v>
      </c>
      <c r="E369" s="90">
        <v>2</v>
      </c>
      <c r="F369" s="4">
        <f>VLOOKUP(D369,TABLE!$B$1:$C$137,2,FALSE)</f>
        <v>94.25</v>
      </c>
      <c r="G369" s="4">
        <f t="shared" si="5"/>
        <v>188.5</v>
      </c>
      <c r="H369" s="3" t="s">
        <v>244</v>
      </c>
    </row>
    <row r="370" spans="1:8" ht="18">
      <c r="A370" s="3" t="s">
        <v>256</v>
      </c>
      <c r="B370" s="3">
        <v>2025</v>
      </c>
      <c r="C370" s="3" t="s">
        <v>7</v>
      </c>
      <c r="D370" s="97" t="s">
        <v>3</v>
      </c>
      <c r="E370" s="90">
        <v>7</v>
      </c>
      <c r="F370" s="4">
        <f>VLOOKUP(D370,TABLE!$B$1:$C$137,2,FALSE)</f>
        <v>85</v>
      </c>
      <c r="G370" s="4">
        <f t="shared" si="5"/>
        <v>595</v>
      </c>
      <c r="H370" s="3" t="s">
        <v>244</v>
      </c>
    </row>
    <row r="371" spans="1:8" ht="18">
      <c r="A371" s="3" t="s">
        <v>256</v>
      </c>
      <c r="B371" s="3">
        <v>2025</v>
      </c>
      <c r="C371" s="3" t="s">
        <v>7</v>
      </c>
      <c r="D371" s="97" t="s">
        <v>74</v>
      </c>
      <c r="E371" s="90">
        <v>1</v>
      </c>
      <c r="F371" s="4">
        <f>VLOOKUP(D371,TABLE!$B$1:$C$137,2,FALSE)</f>
        <v>306.75</v>
      </c>
      <c r="G371" s="4">
        <f t="shared" si="5"/>
        <v>306.75</v>
      </c>
      <c r="H371" s="3" t="s">
        <v>244</v>
      </c>
    </row>
    <row r="372" spans="1:8" ht="18">
      <c r="A372" s="3" t="s">
        <v>256</v>
      </c>
      <c r="B372" s="3">
        <v>2025</v>
      </c>
      <c r="C372" s="3" t="s">
        <v>12</v>
      </c>
      <c r="D372" s="97" t="s">
        <v>11</v>
      </c>
      <c r="E372" s="90">
        <v>14</v>
      </c>
      <c r="F372" s="4">
        <f>VLOOKUP(D372,TABLE!$B$1:$C$137,2,FALSE)</f>
        <v>32.32</v>
      </c>
      <c r="G372" s="4">
        <f t="shared" si="5"/>
        <v>452.48</v>
      </c>
      <c r="H372" s="3" t="s">
        <v>15</v>
      </c>
    </row>
    <row r="373" spans="1:8" ht="18">
      <c r="A373" s="3" t="s">
        <v>256</v>
      </c>
      <c r="B373" s="3">
        <v>2025</v>
      </c>
      <c r="C373" s="3" t="s">
        <v>12</v>
      </c>
      <c r="D373" s="97" t="s">
        <v>37</v>
      </c>
      <c r="E373" s="90">
        <v>1</v>
      </c>
      <c r="F373" s="4">
        <f>VLOOKUP(D373,TABLE!$B$1:$C$137,2,FALSE)</f>
        <v>16.079999999999998</v>
      </c>
      <c r="G373" s="4">
        <f t="shared" si="5"/>
        <v>16.079999999999998</v>
      </c>
      <c r="H373" s="3" t="s">
        <v>15</v>
      </c>
    </row>
    <row r="374" spans="1:8" ht="18">
      <c r="A374" s="3" t="s">
        <v>256</v>
      </c>
      <c r="B374" s="3">
        <v>2025</v>
      </c>
      <c r="C374" s="3" t="s">
        <v>12</v>
      </c>
      <c r="D374" s="97" t="s">
        <v>20</v>
      </c>
      <c r="E374" s="90">
        <v>4</v>
      </c>
      <c r="F374" s="4">
        <f>VLOOKUP(D374,TABLE!$B$1:$C$137,2,FALSE)</f>
        <v>38.270000000000003</v>
      </c>
      <c r="G374" s="4">
        <f t="shared" si="5"/>
        <v>153.08000000000001</v>
      </c>
      <c r="H374" s="3" t="s">
        <v>15</v>
      </c>
    </row>
    <row r="375" spans="1:8" ht="18">
      <c r="A375" s="3" t="s">
        <v>256</v>
      </c>
      <c r="B375" s="3">
        <v>2025</v>
      </c>
      <c r="C375" s="3" t="s">
        <v>12</v>
      </c>
      <c r="D375" s="97" t="s">
        <v>21</v>
      </c>
      <c r="E375" s="90">
        <v>1</v>
      </c>
      <c r="F375" s="4">
        <f>VLOOKUP(D375,TABLE!$B$1:$C$137,2,FALSE)</f>
        <v>44.78</v>
      </c>
      <c r="G375" s="4">
        <f t="shared" si="5"/>
        <v>44.78</v>
      </c>
      <c r="H375" s="3" t="s">
        <v>15</v>
      </c>
    </row>
    <row r="376" spans="1:8" ht="18">
      <c r="A376" s="3" t="s">
        <v>256</v>
      </c>
      <c r="B376" s="3">
        <v>2025</v>
      </c>
      <c r="C376" s="3" t="s">
        <v>12</v>
      </c>
      <c r="D376" s="97" t="s">
        <v>77</v>
      </c>
      <c r="E376" s="90">
        <v>1</v>
      </c>
      <c r="F376" s="4">
        <f>VLOOKUP(D376,TABLE!$B$1:$C$137,2,FALSE)</f>
        <v>38.94</v>
      </c>
      <c r="G376" s="4">
        <f t="shared" si="5"/>
        <v>38.94</v>
      </c>
      <c r="H376" s="3" t="s">
        <v>15</v>
      </c>
    </row>
    <row r="377" spans="1:8" ht="18">
      <c r="A377" s="3" t="s">
        <v>256</v>
      </c>
      <c r="B377" s="3">
        <v>2025</v>
      </c>
      <c r="C377" s="3" t="s">
        <v>12</v>
      </c>
      <c r="D377" s="97" t="s">
        <v>70</v>
      </c>
      <c r="E377" s="90">
        <v>2</v>
      </c>
      <c r="F377" s="4">
        <f>VLOOKUP(D377,TABLE!$B$1:$C$137,2,FALSE)</f>
        <v>50.64</v>
      </c>
      <c r="G377" s="4">
        <f t="shared" si="5"/>
        <v>101.28</v>
      </c>
      <c r="H377" s="3" t="s">
        <v>15</v>
      </c>
    </row>
    <row r="378" spans="1:8" ht="18">
      <c r="A378" s="3" t="s">
        <v>256</v>
      </c>
      <c r="B378" s="3">
        <v>2025</v>
      </c>
      <c r="C378" s="3" t="s">
        <v>12</v>
      </c>
      <c r="D378" s="97" t="s">
        <v>40</v>
      </c>
      <c r="E378" s="90">
        <v>3</v>
      </c>
      <c r="F378" s="4">
        <f>VLOOKUP(D378,TABLE!$B$1:$C$137,2,FALSE)</f>
        <v>53.57</v>
      </c>
      <c r="G378" s="4">
        <f t="shared" si="5"/>
        <v>160.71</v>
      </c>
      <c r="H378" s="3" t="s">
        <v>15</v>
      </c>
    </row>
    <row r="379" spans="1:8" ht="18">
      <c r="A379" s="3" t="s">
        <v>256</v>
      </c>
      <c r="B379" s="3">
        <v>2025</v>
      </c>
      <c r="C379" s="3" t="s">
        <v>12</v>
      </c>
      <c r="D379" s="97" t="s">
        <v>22</v>
      </c>
      <c r="E379" s="90">
        <v>1</v>
      </c>
      <c r="F379" s="4">
        <f>VLOOKUP(D379,TABLE!$B$1:$C$137,2,FALSE)</f>
        <v>55.28</v>
      </c>
      <c r="G379" s="4">
        <f t="shared" si="5"/>
        <v>55.28</v>
      </c>
      <c r="H379" s="3" t="s">
        <v>15</v>
      </c>
    </row>
    <row r="380" spans="1:8" ht="18">
      <c r="A380" s="3" t="s">
        <v>256</v>
      </c>
      <c r="B380" s="3">
        <v>2025</v>
      </c>
      <c r="C380" s="3" t="s">
        <v>12</v>
      </c>
      <c r="D380" s="97" t="s">
        <v>49</v>
      </c>
      <c r="E380" s="90">
        <v>1</v>
      </c>
      <c r="F380" s="4">
        <f>VLOOKUP(D380,TABLE!$B$1:$C$137,2,FALSE)</f>
        <v>82.69</v>
      </c>
      <c r="G380" s="4">
        <f t="shared" si="5"/>
        <v>82.69</v>
      </c>
      <c r="H380" s="3" t="s">
        <v>15</v>
      </c>
    </row>
    <row r="381" spans="1:8" ht="18">
      <c r="A381" s="3" t="s">
        <v>256</v>
      </c>
      <c r="B381" s="3">
        <v>2025</v>
      </c>
      <c r="C381" s="3" t="s">
        <v>28</v>
      </c>
      <c r="D381" s="97" t="s">
        <v>27</v>
      </c>
      <c r="E381" s="90">
        <v>18</v>
      </c>
      <c r="F381" s="4">
        <f>VLOOKUP(D381,TABLE!$B$1:$C$137,2,FALSE)</f>
        <v>11.59</v>
      </c>
      <c r="G381" s="4">
        <f t="shared" si="5"/>
        <v>208.62</v>
      </c>
      <c r="H381" s="3" t="s">
        <v>29</v>
      </c>
    </row>
    <row r="382" spans="1:8" ht="18">
      <c r="A382" s="3" t="s">
        <v>256</v>
      </c>
      <c r="B382" s="3">
        <v>2025</v>
      </c>
      <c r="C382" s="3" t="s">
        <v>28</v>
      </c>
      <c r="D382" s="97" t="s">
        <v>96</v>
      </c>
      <c r="E382" s="90">
        <v>2</v>
      </c>
      <c r="F382" s="4">
        <f>VLOOKUP(D382,TABLE!$B$1:$C$137,2,FALSE)</f>
        <v>36.9</v>
      </c>
      <c r="G382" s="4">
        <f t="shared" si="5"/>
        <v>73.8</v>
      </c>
      <c r="H382" s="3" t="s">
        <v>29</v>
      </c>
    </row>
    <row r="383" spans="1:8" ht="18">
      <c r="A383" s="3" t="s">
        <v>257</v>
      </c>
      <c r="B383" s="3">
        <v>2025</v>
      </c>
      <c r="C383" s="3" t="s">
        <v>7</v>
      </c>
      <c r="D383" s="96" t="s">
        <v>254</v>
      </c>
      <c r="E383" s="90">
        <v>14</v>
      </c>
      <c r="F383" s="4">
        <f>VLOOKUP(D383,TABLE!$B$1:$C$137,2,FALSE)</f>
        <v>76.89</v>
      </c>
      <c r="G383" s="4">
        <f t="shared" si="5"/>
        <v>1076.46</v>
      </c>
      <c r="H383" s="3" t="s">
        <v>13</v>
      </c>
    </row>
    <row r="384" spans="1:8" ht="18">
      <c r="A384" s="3" t="s">
        <v>257</v>
      </c>
      <c r="B384" s="3">
        <v>2025</v>
      </c>
      <c r="C384" s="3" t="s">
        <v>7</v>
      </c>
      <c r="D384" s="97" t="s">
        <v>71</v>
      </c>
      <c r="E384" s="90">
        <v>10</v>
      </c>
      <c r="F384" s="4">
        <f>VLOOKUP(D384,TABLE!$B$1:$C$137,2,FALSE)</f>
        <v>72.31</v>
      </c>
      <c r="G384" s="4">
        <f t="shared" si="5"/>
        <v>723.1</v>
      </c>
      <c r="H384" s="3" t="s">
        <v>13</v>
      </c>
    </row>
    <row r="385" spans="1:8" ht="18">
      <c r="A385" s="3" t="s">
        <v>257</v>
      </c>
      <c r="B385" s="3">
        <v>2025</v>
      </c>
      <c r="C385" s="3" t="s">
        <v>7</v>
      </c>
      <c r="D385" s="97" t="s">
        <v>9</v>
      </c>
      <c r="E385" s="90">
        <v>5</v>
      </c>
      <c r="F385" s="4">
        <f>VLOOKUP(D385,TABLE!$B$1:$C$137,2,FALSE)</f>
        <v>114.33</v>
      </c>
      <c r="G385" s="4">
        <f t="shared" si="5"/>
        <v>571.65</v>
      </c>
      <c r="H385" s="3" t="s">
        <v>13</v>
      </c>
    </row>
    <row r="386" spans="1:8" ht="18">
      <c r="A386" s="3" t="s">
        <v>257</v>
      </c>
      <c r="B386" s="3">
        <v>2025</v>
      </c>
      <c r="C386" s="3" t="s">
        <v>7</v>
      </c>
      <c r="D386" s="97" t="s">
        <v>36</v>
      </c>
      <c r="E386" s="90">
        <v>1</v>
      </c>
      <c r="F386" s="4">
        <f>VLOOKUP(D386,TABLE!$B$1:$C$137,2,FALSE)</f>
        <v>358</v>
      </c>
      <c r="G386" s="4">
        <f t="shared" si="5"/>
        <v>358</v>
      </c>
      <c r="H386" s="3" t="s">
        <v>13</v>
      </c>
    </row>
    <row r="387" spans="1:8" ht="18">
      <c r="A387" s="3" t="s">
        <v>257</v>
      </c>
      <c r="B387" s="3">
        <v>2025</v>
      </c>
      <c r="C387" s="3" t="s">
        <v>7</v>
      </c>
      <c r="D387" s="97" t="s">
        <v>4</v>
      </c>
      <c r="E387" s="90">
        <v>1</v>
      </c>
      <c r="F387" s="4">
        <f>VLOOKUP(D387,TABLE!$B$1:$C$137,2,FALSE)</f>
        <v>94.25</v>
      </c>
      <c r="G387" s="4">
        <f t="shared" ref="G387:G448" si="6">E387*F387</f>
        <v>94.25</v>
      </c>
      <c r="H387" s="3" t="s">
        <v>13</v>
      </c>
    </row>
    <row r="388" spans="1:8" ht="18">
      <c r="A388" s="3" t="s">
        <v>257</v>
      </c>
      <c r="B388" s="3">
        <v>2025</v>
      </c>
      <c r="C388" s="3" t="s">
        <v>7</v>
      </c>
      <c r="D388" s="97" t="s">
        <v>31</v>
      </c>
      <c r="E388" s="90">
        <v>4</v>
      </c>
      <c r="F388" s="4">
        <f>VLOOKUP(D388,TABLE!$B$1:$C$137,2,FALSE)</f>
        <v>85.75</v>
      </c>
      <c r="G388" s="4">
        <f t="shared" si="6"/>
        <v>343</v>
      </c>
      <c r="H388" s="3" t="s">
        <v>13</v>
      </c>
    </row>
    <row r="389" spans="1:8" ht="18">
      <c r="A389" s="3" t="s">
        <v>257</v>
      </c>
      <c r="B389" s="3">
        <v>2025</v>
      </c>
      <c r="C389" s="3" t="s">
        <v>7</v>
      </c>
      <c r="D389" s="97" t="s">
        <v>3</v>
      </c>
      <c r="E389" s="90">
        <v>4</v>
      </c>
      <c r="F389" s="4">
        <f>VLOOKUP(D389,TABLE!$B$1:$C$137,2,FALSE)</f>
        <v>85</v>
      </c>
      <c r="G389" s="4">
        <f t="shared" si="6"/>
        <v>340</v>
      </c>
      <c r="H389" s="3" t="s">
        <v>13</v>
      </c>
    </row>
    <row r="390" spans="1:8" ht="18">
      <c r="A390" s="3" t="s">
        <v>257</v>
      </c>
      <c r="B390" s="3">
        <v>2025</v>
      </c>
      <c r="C390" s="3" t="s">
        <v>7</v>
      </c>
      <c r="D390" s="96" t="s">
        <v>254</v>
      </c>
      <c r="E390" s="90">
        <v>4</v>
      </c>
      <c r="F390" s="4">
        <f>VLOOKUP(D390,TABLE!$B$1:$C$137,2,FALSE)</f>
        <v>76.89</v>
      </c>
      <c r="G390" s="4">
        <f t="shared" si="6"/>
        <v>307.56</v>
      </c>
      <c r="H390" s="3" t="s">
        <v>179</v>
      </c>
    </row>
    <row r="391" spans="1:8" ht="18">
      <c r="A391" s="3" t="s">
        <v>257</v>
      </c>
      <c r="B391" s="3">
        <v>2025</v>
      </c>
      <c r="C391" s="3" t="s">
        <v>7</v>
      </c>
      <c r="D391" s="97" t="s">
        <v>71</v>
      </c>
      <c r="E391" s="90">
        <v>3</v>
      </c>
      <c r="F391" s="4">
        <f>VLOOKUP(D391,TABLE!$B$1:$C$137,2,FALSE)</f>
        <v>72.31</v>
      </c>
      <c r="G391" s="4">
        <f t="shared" si="6"/>
        <v>216.93</v>
      </c>
      <c r="H391" s="3" t="s">
        <v>179</v>
      </c>
    </row>
    <row r="392" spans="1:8" ht="18">
      <c r="A392" s="3" t="s">
        <v>257</v>
      </c>
      <c r="B392" s="3">
        <v>2025</v>
      </c>
      <c r="C392" s="3" t="s">
        <v>7</v>
      </c>
      <c r="D392" s="97" t="s">
        <v>36</v>
      </c>
      <c r="E392" s="90">
        <v>1</v>
      </c>
      <c r="F392" s="4">
        <f>VLOOKUP(D392,TABLE!$B$1:$C$137,2,FALSE)</f>
        <v>358</v>
      </c>
      <c r="G392" s="4">
        <f t="shared" si="6"/>
        <v>358</v>
      </c>
      <c r="H392" s="3" t="s">
        <v>179</v>
      </c>
    </row>
    <row r="393" spans="1:8" ht="18">
      <c r="A393" s="3" t="s">
        <v>257</v>
      </c>
      <c r="B393" s="3">
        <v>2025</v>
      </c>
      <c r="C393" s="3" t="s">
        <v>7</v>
      </c>
      <c r="D393" s="97" t="s">
        <v>71</v>
      </c>
      <c r="E393" s="90">
        <v>6</v>
      </c>
      <c r="F393" s="4">
        <f>VLOOKUP(D393,TABLE!$B$1:$C$137,2,FALSE)</f>
        <v>72.31</v>
      </c>
      <c r="G393" s="4">
        <f t="shared" si="6"/>
        <v>433.86</v>
      </c>
      <c r="H393" s="3" t="s">
        <v>245</v>
      </c>
    </row>
    <row r="394" spans="1:8" ht="18">
      <c r="A394" s="3" t="s">
        <v>257</v>
      </c>
      <c r="B394" s="3">
        <v>2025</v>
      </c>
      <c r="C394" s="3" t="s">
        <v>7</v>
      </c>
      <c r="D394" s="97" t="s">
        <v>9</v>
      </c>
      <c r="E394" s="90">
        <v>3</v>
      </c>
      <c r="F394" s="4">
        <f>VLOOKUP(D394,TABLE!$B$1:$C$137,2,FALSE)</f>
        <v>114.33</v>
      </c>
      <c r="G394" s="4">
        <f t="shared" si="6"/>
        <v>342.99</v>
      </c>
      <c r="H394" s="3" t="s">
        <v>244</v>
      </c>
    </row>
    <row r="395" spans="1:8" ht="18">
      <c r="A395" s="3" t="s">
        <v>257</v>
      </c>
      <c r="B395" s="3">
        <v>2025</v>
      </c>
      <c r="C395" s="3" t="s">
        <v>7</v>
      </c>
      <c r="D395" s="97" t="s">
        <v>36</v>
      </c>
      <c r="E395" s="90">
        <v>4</v>
      </c>
      <c r="F395" s="4">
        <f>VLOOKUP(D395,TABLE!$B$1:$C$137,2,FALSE)</f>
        <v>358</v>
      </c>
      <c r="G395" s="4">
        <f t="shared" si="6"/>
        <v>1432</v>
      </c>
      <c r="H395" s="3" t="s">
        <v>244</v>
      </c>
    </row>
    <row r="396" spans="1:8" ht="18">
      <c r="A396" s="3" t="s">
        <v>257</v>
      </c>
      <c r="B396" s="3">
        <v>2025</v>
      </c>
      <c r="C396" s="3" t="s">
        <v>7</v>
      </c>
      <c r="D396" s="97" t="s">
        <v>4</v>
      </c>
      <c r="E396" s="90">
        <v>2</v>
      </c>
      <c r="F396" s="4">
        <f>VLOOKUP(D396,TABLE!$B$1:$C$137,2,FALSE)</f>
        <v>94.25</v>
      </c>
      <c r="G396" s="4">
        <f t="shared" si="6"/>
        <v>188.5</v>
      </c>
      <c r="H396" s="3" t="s">
        <v>244</v>
      </c>
    </row>
    <row r="397" spans="1:8" ht="18">
      <c r="A397" s="3" t="s">
        <v>257</v>
      </c>
      <c r="B397" s="3">
        <v>2025</v>
      </c>
      <c r="C397" s="3" t="s">
        <v>7</v>
      </c>
      <c r="D397" s="97" t="s">
        <v>73</v>
      </c>
      <c r="E397" s="90">
        <v>2</v>
      </c>
      <c r="F397" s="4">
        <f>VLOOKUP(D397,TABLE!$B$1:$C$137,2,FALSE)</f>
        <v>97.22</v>
      </c>
      <c r="G397" s="4">
        <f t="shared" si="6"/>
        <v>194.44</v>
      </c>
      <c r="H397" s="3" t="s">
        <v>244</v>
      </c>
    </row>
    <row r="398" spans="1:8" ht="18">
      <c r="A398" s="3" t="s">
        <v>257</v>
      </c>
      <c r="B398" s="3">
        <v>2025</v>
      </c>
      <c r="C398" s="3" t="s">
        <v>7</v>
      </c>
      <c r="D398" s="97" t="s">
        <v>3</v>
      </c>
      <c r="E398" s="90">
        <v>5</v>
      </c>
      <c r="F398" s="4">
        <f>VLOOKUP(D398,TABLE!$B$1:$C$137,2,FALSE)</f>
        <v>85</v>
      </c>
      <c r="G398" s="4">
        <f t="shared" si="6"/>
        <v>425</v>
      </c>
      <c r="H398" s="3" t="s">
        <v>244</v>
      </c>
    </row>
    <row r="399" spans="1:8" ht="18">
      <c r="A399" s="3" t="s">
        <v>257</v>
      </c>
      <c r="B399" s="3">
        <v>2025</v>
      </c>
      <c r="C399" s="3" t="s">
        <v>7</v>
      </c>
      <c r="D399" s="97" t="s">
        <v>136</v>
      </c>
      <c r="E399" s="90">
        <v>1</v>
      </c>
      <c r="F399" s="4">
        <f>VLOOKUP(D399,TABLE!$B$1:$C$137,2,FALSE)</f>
        <v>181.83</v>
      </c>
      <c r="G399" s="4">
        <f t="shared" si="6"/>
        <v>181.83</v>
      </c>
      <c r="H399" s="3" t="s">
        <v>244</v>
      </c>
    </row>
    <row r="400" spans="1:8" ht="18">
      <c r="A400" s="3" t="s">
        <v>257</v>
      </c>
      <c r="B400" s="3">
        <v>2025</v>
      </c>
      <c r="C400" s="3" t="s">
        <v>12</v>
      </c>
      <c r="D400" s="97" t="s">
        <v>14</v>
      </c>
      <c r="E400" s="90">
        <v>5</v>
      </c>
      <c r="F400" s="4">
        <f>VLOOKUP(D400,TABLE!$B$1:$C$137,2,FALSE)</f>
        <v>49.25</v>
      </c>
      <c r="G400" s="4">
        <f t="shared" si="6"/>
        <v>246.25</v>
      </c>
      <c r="H400" s="3" t="s">
        <v>15</v>
      </c>
    </row>
    <row r="401" spans="1:8" ht="18">
      <c r="A401" s="3" t="s">
        <v>257</v>
      </c>
      <c r="B401" s="3">
        <v>2025</v>
      </c>
      <c r="C401" s="3" t="s">
        <v>12</v>
      </c>
      <c r="D401" s="97" t="s">
        <v>19</v>
      </c>
      <c r="E401" s="90">
        <v>4</v>
      </c>
      <c r="F401" s="4">
        <f>VLOOKUP(D401,TABLE!$B$1:$C$137,2,FALSE)</f>
        <v>23.91</v>
      </c>
      <c r="G401" s="4">
        <f t="shared" si="6"/>
        <v>95.64</v>
      </c>
      <c r="H401" s="3" t="s">
        <v>15</v>
      </c>
    </row>
    <row r="402" spans="1:8" ht="18">
      <c r="A402" s="3" t="s">
        <v>257</v>
      </c>
      <c r="B402" s="3">
        <v>2025</v>
      </c>
      <c r="C402" s="3" t="s">
        <v>12</v>
      </c>
      <c r="D402" s="97" t="s">
        <v>20</v>
      </c>
      <c r="E402" s="90">
        <v>7</v>
      </c>
      <c r="F402" s="4">
        <f>VLOOKUP(D402,TABLE!$B$1:$C$137,2,FALSE)</f>
        <v>38.270000000000003</v>
      </c>
      <c r="G402" s="4">
        <f t="shared" si="6"/>
        <v>267.89000000000004</v>
      </c>
      <c r="H402" s="3" t="s">
        <v>15</v>
      </c>
    </row>
    <row r="403" spans="1:8" ht="18">
      <c r="A403" s="3" t="s">
        <v>257</v>
      </c>
      <c r="B403" s="3">
        <v>2025</v>
      </c>
      <c r="C403" s="3" t="s">
        <v>12</v>
      </c>
      <c r="D403" s="97" t="s">
        <v>21</v>
      </c>
      <c r="E403" s="90">
        <v>6</v>
      </c>
      <c r="F403" s="4">
        <f>VLOOKUP(D403,TABLE!$B$1:$C$137,2,FALSE)</f>
        <v>44.78</v>
      </c>
      <c r="G403" s="4">
        <f t="shared" si="6"/>
        <v>268.68</v>
      </c>
      <c r="H403" s="3" t="s">
        <v>15</v>
      </c>
    </row>
    <row r="404" spans="1:8" ht="18">
      <c r="A404" s="3" t="s">
        <v>257</v>
      </c>
      <c r="B404" s="3">
        <v>2025</v>
      </c>
      <c r="C404" s="3" t="s">
        <v>12</v>
      </c>
      <c r="D404" s="97" t="s">
        <v>77</v>
      </c>
      <c r="E404" s="90">
        <v>10</v>
      </c>
      <c r="F404" s="4">
        <f>VLOOKUP(D404,TABLE!$B$1:$C$137,2,FALSE)</f>
        <v>38.94</v>
      </c>
      <c r="G404" s="4">
        <f t="shared" si="6"/>
        <v>389.4</v>
      </c>
      <c r="H404" s="3" t="s">
        <v>15</v>
      </c>
    </row>
    <row r="405" spans="1:8" ht="18">
      <c r="A405" s="3" t="s">
        <v>257</v>
      </c>
      <c r="B405" s="3">
        <v>2025</v>
      </c>
      <c r="C405" s="3" t="s">
        <v>12</v>
      </c>
      <c r="D405" s="97" t="s">
        <v>70</v>
      </c>
      <c r="E405" s="90">
        <v>1</v>
      </c>
      <c r="F405" s="4">
        <f>VLOOKUP(D405,TABLE!$B$1:$C$137,2,FALSE)</f>
        <v>50.64</v>
      </c>
      <c r="G405" s="4">
        <f t="shared" si="6"/>
        <v>50.64</v>
      </c>
      <c r="H405" s="3" t="s">
        <v>15</v>
      </c>
    </row>
    <row r="406" spans="1:8" ht="18">
      <c r="A406" s="3" t="s">
        <v>257</v>
      </c>
      <c r="B406" s="3">
        <v>2025</v>
      </c>
      <c r="C406" s="3" t="s">
        <v>12</v>
      </c>
      <c r="D406" s="97" t="s">
        <v>14</v>
      </c>
      <c r="E406" s="90">
        <v>2</v>
      </c>
      <c r="F406" s="4">
        <f>VLOOKUP(D406,TABLE!$B$1:$C$137,2,FALSE)</f>
        <v>49.25</v>
      </c>
      <c r="G406" s="4">
        <f t="shared" si="6"/>
        <v>98.5</v>
      </c>
      <c r="H406" s="3" t="s">
        <v>13</v>
      </c>
    </row>
    <row r="407" spans="1:8" ht="18">
      <c r="A407" s="3" t="s">
        <v>257</v>
      </c>
      <c r="B407" s="3">
        <v>2025</v>
      </c>
      <c r="C407" s="3" t="s">
        <v>12</v>
      </c>
      <c r="D407" s="97" t="s">
        <v>21</v>
      </c>
      <c r="E407" s="90">
        <v>2</v>
      </c>
      <c r="F407" s="4">
        <f>VLOOKUP(D407,TABLE!$B$1:$C$137,2,FALSE)</f>
        <v>44.78</v>
      </c>
      <c r="G407" s="4">
        <f t="shared" si="6"/>
        <v>89.56</v>
      </c>
      <c r="H407" s="3" t="s">
        <v>13</v>
      </c>
    </row>
    <row r="408" spans="1:8" ht="18">
      <c r="A408" s="3" t="s">
        <v>257</v>
      </c>
      <c r="B408" s="3">
        <v>2025</v>
      </c>
      <c r="C408" s="3" t="s">
        <v>28</v>
      </c>
      <c r="D408" s="97" t="s">
        <v>27</v>
      </c>
      <c r="E408" s="90">
        <v>19</v>
      </c>
      <c r="F408" s="4">
        <f>VLOOKUP(D408,TABLE!$B$1:$C$137,2,FALSE)</f>
        <v>11.59</v>
      </c>
      <c r="G408" s="4">
        <f t="shared" si="6"/>
        <v>220.21</v>
      </c>
      <c r="H408" s="3" t="s">
        <v>29</v>
      </c>
    </row>
    <row r="409" spans="1:8" ht="18">
      <c r="A409" s="3" t="s">
        <v>257</v>
      </c>
      <c r="B409" s="3">
        <v>2025</v>
      </c>
      <c r="C409" s="3" t="s">
        <v>28</v>
      </c>
      <c r="D409" s="97" t="s">
        <v>84</v>
      </c>
      <c r="E409" s="90">
        <v>3</v>
      </c>
      <c r="F409" s="4">
        <f>VLOOKUP(D409,TABLE!$B$1:$C$137,2,FALSE)</f>
        <v>15.38</v>
      </c>
      <c r="G409" s="4">
        <f t="shared" si="6"/>
        <v>46.14</v>
      </c>
      <c r="H409" s="3" t="s">
        <v>246</v>
      </c>
    </row>
    <row r="410" spans="1:8" ht="18">
      <c r="A410" s="3" t="s">
        <v>257</v>
      </c>
      <c r="B410" s="3">
        <v>2025</v>
      </c>
      <c r="C410" s="3" t="s">
        <v>28</v>
      </c>
      <c r="D410" s="97" t="s">
        <v>113</v>
      </c>
      <c r="E410" s="90">
        <v>10</v>
      </c>
      <c r="F410" s="4">
        <f>VLOOKUP(D410,TABLE!$B$1:$C$137,2,FALSE)</f>
        <v>52.3</v>
      </c>
      <c r="G410" s="4">
        <f t="shared" si="6"/>
        <v>523</v>
      </c>
      <c r="H410" s="3" t="s">
        <v>246</v>
      </c>
    </row>
    <row r="411" spans="1:8" ht="18">
      <c r="A411" s="3" t="s">
        <v>257</v>
      </c>
      <c r="B411" s="3">
        <v>2025</v>
      </c>
      <c r="C411" s="3" t="s">
        <v>28</v>
      </c>
      <c r="D411" s="97" t="s">
        <v>25</v>
      </c>
      <c r="E411" s="90">
        <v>2</v>
      </c>
      <c r="F411" s="4">
        <f>VLOOKUP(D411,TABLE!$B$1:$C$137,2,FALSE)</f>
        <v>20.04</v>
      </c>
      <c r="G411" s="4">
        <f t="shared" si="6"/>
        <v>40.08</v>
      </c>
      <c r="H411" s="3" t="s">
        <v>246</v>
      </c>
    </row>
    <row r="412" spans="1:8" ht="18">
      <c r="A412" s="3" t="s">
        <v>258</v>
      </c>
      <c r="B412" s="3">
        <v>2025</v>
      </c>
      <c r="C412" s="3" t="s">
        <v>7</v>
      </c>
      <c r="D412" s="97" t="s">
        <v>254</v>
      </c>
      <c r="E412" s="90">
        <v>5</v>
      </c>
      <c r="F412" s="4">
        <f>VLOOKUP(D412,TABLE!$B$1:$C$137,2,FALSE)</f>
        <v>76.89</v>
      </c>
      <c r="G412" s="4">
        <f t="shared" si="6"/>
        <v>384.45</v>
      </c>
      <c r="H412" s="3" t="s">
        <v>13</v>
      </c>
    </row>
    <row r="413" spans="1:8" ht="18">
      <c r="A413" s="3" t="s">
        <v>258</v>
      </c>
      <c r="B413" s="3">
        <v>2025</v>
      </c>
      <c r="C413" s="3" t="s">
        <v>7</v>
      </c>
      <c r="D413" s="97" t="s">
        <v>71</v>
      </c>
      <c r="E413" s="90">
        <v>4</v>
      </c>
      <c r="F413" s="4">
        <f>VLOOKUP(D413,TABLE!$B$1:$C$137,2,FALSE)</f>
        <v>72.31</v>
      </c>
      <c r="G413" s="4">
        <f t="shared" si="6"/>
        <v>289.24</v>
      </c>
      <c r="H413" s="3" t="s">
        <v>13</v>
      </c>
    </row>
    <row r="414" spans="1:8" ht="18">
      <c r="A414" s="3" t="s">
        <v>258</v>
      </c>
      <c r="B414" s="3">
        <v>2025</v>
      </c>
      <c r="C414" s="3" t="s">
        <v>7</v>
      </c>
      <c r="D414" s="97" t="s">
        <v>9</v>
      </c>
      <c r="E414" s="90">
        <v>3</v>
      </c>
      <c r="F414" s="4">
        <f>VLOOKUP(D414,TABLE!$B$1:$C$137,2,FALSE)</f>
        <v>114.33</v>
      </c>
      <c r="G414" s="4">
        <f t="shared" si="6"/>
        <v>342.99</v>
      </c>
      <c r="H414" s="3" t="s">
        <v>13</v>
      </c>
    </row>
    <row r="415" spans="1:8" ht="18">
      <c r="A415" s="3" t="s">
        <v>258</v>
      </c>
      <c r="B415" s="3">
        <v>2025</v>
      </c>
      <c r="C415" s="3" t="s">
        <v>7</v>
      </c>
      <c r="D415" s="97" t="s">
        <v>36</v>
      </c>
      <c r="E415" s="90">
        <v>19</v>
      </c>
      <c r="F415" s="4">
        <f>VLOOKUP(D415,TABLE!$B$1:$C$137,2,FALSE)</f>
        <v>358</v>
      </c>
      <c r="G415" s="4">
        <f t="shared" si="6"/>
        <v>6802</v>
      </c>
      <c r="H415" s="3" t="s">
        <v>13</v>
      </c>
    </row>
    <row r="416" spans="1:8" ht="18">
      <c r="A416" s="3" t="s">
        <v>258</v>
      </c>
      <c r="B416" s="3">
        <v>2025</v>
      </c>
      <c r="C416" s="3" t="s">
        <v>7</v>
      </c>
      <c r="D416" s="97" t="s">
        <v>4</v>
      </c>
      <c r="E416" s="90">
        <v>2</v>
      </c>
      <c r="F416" s="4">
        <f>VLOOKUP(D416,TABLE!$B$1:$C$137,2,FALSE)</f>
        <v>94.25</v>
      </c>
      <c r="G416" s="4">
        <f t="shared" si="6"/>
        <v>188.5</v>
      </c>
      <c r="H416" s="3" t="s">
        <v>13</v>
      </c>
    </row>
    <row r="417" spans="1:8" ht="18">
      <c r="A417" s="3" t="s">
        <v>258</v>
      </c>
      <c r="B417" s="3">
        <v>2025</v>
      </c>
      <c r="C417" s="3" t="s">
        <v>7</v>
      </c>
      <c r="D417" s="97" t="s">
        <v>31</v>
      </c>
      <c r="E417" s="90">
        <v>4</v>
      </c>
      <c r="F417" s="4">
        <f>VLOOKUP(D417,TABLE!$B$1:$C$137,2,FALSE)</f>
        <v>85.75</v>
      </c>
      <c r="G417" s="4">
        <f t="shared" si="6"/>
        <v>343</v>
      </c>
      <c r="H417" s="3" t="s">
        <v>13</v>
      </c>
    </row>
    <row r="418" spans="1:8" ht="18">
      <c r="A418" s="3" t="s">
        <v>258</v>
      </c>
      <c r="B418" s="3">
        <v>2025</v>
      </c>
      <c r="C418" s="3" t="s">
        <v>7</v>
      </c>
      <c r="D418" s="97" t="s">
        <v>92</v>
      </c>
      <c r="E418" s="90">
        <v>1</v>
      </c>
      <c r="F418" s="4">
        <f>VLOOKUP(D418,TABLE!$B$1:$C$137,2,FALSE)</f>
        <v>77.69</v>
      </c>
      <c r="G418" s="4">
        <f t="shared" si="6"/>
        <v>77.69</v>
      </c>
      <c r="H418" s="3" t="s">
        <v>13</v>
      </c>
    </row>
    <row r="419" spans="1:8" ht="18">
      <c r="A419" s="3" t="s">
        <v>258</v>
      </c>
      <c r="B419" s="3">
        <v>2025</v>
      </c>
      <c r="C419" s="3" t="s">
        <v>7</v>
      </c>
      <c r="D419" s="97" t="s">
        <v>160</v>
      </c>
      <c r="E419" s="90">
        <v>1</v>
      </c>
      <c r="F419" s="4">
        <f>VLOOKUP(D419,TABLE!$B$1:$C$137,2,FALSE)</f>
        <v>115.36</v>
      </c>
      <c r="G419" s="4">
        <f t="shared" si="6"/>
        <v>115.36</v>
      </c>
      <c r="H419" s="3" t="s">
        <v>13</v>
      </c>
    </row>
    <row r="420" spans="1:8" ht="18">
      <c r="A420" s="3" t="s">
        <v>258</v>
      </c>
      <c r="B420" s="3">
        <v>2025</v>
      </c>
      <c r="C420" s="3" t="s">
        <v>7</v>
      </c>
      <c r="D420" s="97" t="s">
        <v>3</v>
      </c>
      <c r="E420" s="90">
        <v>4</v>
      </c>
      <c r="F420" s="4">
        <f>VLOOKUP(D420,TABLE!$B$1:$C$137,2,FALSE)</f>
        <v>85</v>
      </c>
      <c r="G420" s="4">
        <f t="shared" si="6"/>
        <v>340</v>
      </c>
      <c r="H420" s="3" t="s">
        <v>13</v>
      </c>
    </row>
    <row r="421" spans="1:8" ht="18">
      <c r="A421" s="3" t="s">
        <v>258</v>
      </c>
      <c r="B421" s="3">
        <v>2025</v>
      </c>
      <c r="C421" s="3" t="s">
        <v>7</v>
      </c>
      <c r="D421" s="97" t="s">
        <v>71</v>
      </c>
      <c r="E421" s="90">
        <v>2</v>
      </c>
      <c r="F421" s="4">
        <f>VLOOKUP(D421,TABLE!$B$1:$C$137,2,FALSE)</f>
        <v>72.31</v>
      </c>
      <c r="G421" s="4">
        <f t="shared" si="6"/>
        <v>144.62</v>
      </c>
      <c r="H421" s="3" t="s">
        <v>245</v>
      </c>
    </row>
    <row r="422" spans="1:8" ht="18">
      <c r="A422" s="3" t="s">
        <v>258</v>
      </c>
      <c r="B422" s="3">
        <v>2025</v>
      </c>
      <c r="C422" s="3" t="s">
        <v>7</v>
      </c>
      <c r="D422" s="97" t="s">
        <v>31</v>
      </c>
      <c r="E422" s="90">
        <v>1</v>
      </c>
      <c r="F422" s="4">
        <f>VLOOKUP(D422,TABLE!$B$1:$C$137,2,FALSE)</f>
        <v>85.75</v>
      </c>
      <c r="G422" s="4">
        <f t="shared" si="6"/>
        <v>85.75</v>
      </c>
      <c r="H422" s="3" t="s">
        <v>245</v>
      </c>
    </row>
    <row r="423" spans="1:8" ht="18">
      <c r="A423" s="3" t="s">
        <v>258</v>
      </c>
      <c r="B423" s="3">
        <v>2025</v>
      </c>
      <c r="C423" s="3" t="s">
        <v>7</v>
      </c>
      <c r="D423" s="97" t="s">
        <v>56</v>
      </c>
      <c r="E423" s="90">
        <v>2</v>
      </c>
      <c r="F423" s="4">
        <f>VLOOKUP(D423,TABLE!$B$1:$C$137,2,FALSE)</f>
        <v>241.14</v>
      </c>
      <c r="G423" s="4">
        <f t="shared" si="6"/>
        <v>482.28</v>
      </c>
      <c r="H423" s="3" t="s">
        <v>242</v>
      </c>
    </row>
    <row r="424" spans="1:8" ht="18">
      <c r="A424" s="3" t="s">
        <v>258</v>
      </c>
      <c r="B424" s="3">
        <v>2025</v>
      </c>
      <c r="C424" s="3" t="s">
        <v>7</v>
      </c>
      <c r="D424" s="97" t="s">
        <v>4</v>
      </c>
      <c r="E424" s="90">
        <v>1</v>
      </c>
      <c r="F424" s="4">
        <f>VLOOKUP(D424,TABLE!$B$1:$C$137,2,FALSE)</f>
        <v>94.25</v>
      </c>
      <c r="G424" s="4">
        <f t="shared" si="6"/>
        <v>94.25</v>
      </c>
      <c r="H424" s="3" t="s">
        <v>242</v>
      </c>
    </row>
    <row r="425" spans="1:8" ht="18">
      <c r="A425" s="3" t="s">
        <v>258</v>
      </c>
      <c r="B425" s="3">
        <v>2025</v>
      </c>
      <c r="C425" s="3" t="s">
        <v>7</v>
      </c>
      <c r="D425" s="97" t="s">
        <v>3</v>
      </c>
      <c r="E425" s="90">
        <v>1</v>
      </c>
      <c r="F425" s="4">
        <f>VLOOKUP(D425,TABLE!$B$1:$C$137,2,FALSE)</f>
        <v>85</v>
      </c>
      <c r="G425" s="4">
        <f t="shared" si="6"/>
        <v>85</v>
      </c>
      <c r="H425" s="3" t="s">
        <v>242</v>
      </c>
    </row>
    <row r="426" spans="1:8" ht="18">
      <c r="A426" s="3" t="s">
        <v>258</v>
      </c>
      <c r="B426" s="3">
        <v>2025</v>
      </c>
      <c r="C426" s="3" t="s">
        <v>12</v>
      </c>
      <c r="D426" s="97" t="s">
        <v>14</v>
      </c>
      <c r="E426" s="90">
        <v>2</v>
      </c>
      <c r="F426" s="4">
        <f>VLOOKUP(D426,TABLE!$B$1:$C$137,2,FALSE)</f>
        <v>49.25</v>
      </c>
      <c r="G426" s="4">
        <f t="shared" si="6"/>
        <v>98.5</v>
      </c>
      <c r="H426" s="3" t="s">
        <v>13</v>
      </c>
    </row>
    <row r="427" spans="1:8" ht="18">
      <c r="A427" s="3" t="s">
        <v>258</v>
      </c>
      <c r="B427" s="3">
        <v>2025</v>
      </c>
      <c r="C427" s="3" t="s">
        <v>12</v>
      </c>
      <c r="D427" s="97" t="s">
        <v>19</v>
      </c>
      <c r="E427" s="90">
        <v>2</v>
      </c>
      <c r="F427" s="4">
        <f>VLOOKUP(D427,TABLE!$B$1:$C$137,2,FALSE)</f>
        <v>23.91</v>
      </c>
      <c r="G427" s="4">
        <f t="shared" si="6"/>
        <v>47.82</v>
      </c>
      <c r="H427" s="3" t="s">
        <v>13</v>
      </c>
    </row>
    <row r="428" spans="1:8" ht="18">
      <c r="A428" s="3" t="s">
        <v>258</v>
      </c>
      <c r="B428" s="3">
        <v>2025</v>
      </c>
      <c r="C428" s="3" t="s">
        <v>12</v>
      </c>
      <c r="D428" s="97" t="s">
        <v>70</v>
      </c>
      <c r="E428" s="90">
        <v>3</v>
      </c>
      <c r="F428" s="4">
        <f>VLOOKUP(D428,TABLE!$B$1:$C$137,2,FALSE)</f>
        <v>50.64</v>
      </c>
      <c r="G428" s="4">
        <f t="shared" si="6"/>
        <v>151.92000000000002</v>
      </c>
      <c r="H428" s="3" t="s">
        <v>13</v>
      </c>
    </row>
    <row r="429" spans="1:8" ht="18">
      <c r="A429" s="3" t="s">
        <v>258</v>
      </c>
      <c r="B429" s="3">
        <v>2025</v>
      </c>
      <c r="C429" s="3" t="s">
        <v>12</v>
      </c>
      <c r="D429" s="97" t="s">
        <v>11</v>
      </c>
      <c r="E429" s="90">
        <v>4</v>
      </c>
      <c r="F429" s="4">
        <f>VLOOKUP(D429,TABLE!$B$1:$C$137,2,FALSE)</f>
        <v>32.32</v>
      </c>
      <c r="G429" s="4">
        <f t="shared" si="6"/>
        <v>129.28</v>
      </c>
      <c r="H429" s="3" t="s">
        <v>15</v>
      </c>
    </row>
    <row r="430" spans="1:8" ht="18">
      <c r="A430" s="3" t="s">
        <v>258</v>
      </c>
      <c r="B430" s="3">
        <v>2025</v>
      </c>
      <c r="C430" s="3" t="s">
        <v>12</v>
      </c>
      <c r="D430" s="97" t="s">
        <v>39</v>
      </c>
      <c r="E430" s="90">
        <v>1</v>
      </c>
      <c r="F430" s="4">
        <f>VLOOKUP(D430,TABLE!$B$1:$C$137,2,FALSE)</f>
        <v>34.83</v>
      </c>
      <c r="G430" s="4">
        <f t="shared" si="6"/>
        <v>34.83</v>
      </c>
      <c r="H430" s="3" t="s">
        <v>15</v>
      </c>
    </row>
    <row r="431" spans="1:8" ht="18">
      <c r="A431" s="3" t="s">
        <v>258</v>
      </c>
      <c r="B431" s="3">
        <v>2025</v>
      </c>
      <c r="C431" s="3" t="s">
        <v>12</v>
      </c>
      <c r="D431" s="97" t="s">
        <v>20</v>
      </c>
      <c r="E431" s="90">
        <v>1</v>
      </c>
      <c r="F431" s="4">
        <f>VLOOKUP(D431,TABLE!$B$1:$C$137,2,FALSE)</f>
        <v>38.270000000000003</v>
      </c>
      <c r="G431" s="4">
        <f t="shared" si="6"/>
        <v>38.270000000000003</v>
      </c>
      <c r="H431" s="3" t="s">
        <v>15</v>
      </c>
    </row>
    <row r="432" spans="1:8" ht="18">
      <c r="A432" s="3" t="s">
        <v>258</v>
      </c>
      <c r="B432" s="3">
        <v>2025</v>
      </c>
      <c r="C432" s="3" t="s">
        <v>12</v>
      </c>
      <c r="D432" s="97" t="s">
        <v>21</v>
      </c>
      <c r="E432" s="90">
        <v>7</v>
      </c>
      <c r="F432" s="4">
        <f>VLOOKUP(D432,TABLE!$B$1:$C$137,2,FALSE)</f>
        <v>44.78</v>
      </c>
      <c r="G432" s="4">
        <f t="shared" si="6"/>
        <v>313.46000000000004</v>
      </c>
      <c r="H432" s="3" t="s">
        <v>15</v>
      </c>
    </row>
    <row r="433" spans="1:8" ht="18">
      <c r="A433" s="3" t="s">
        <v>258</v>
      </c>
      <c r="B433" s="3">
        <v>2025</v>
      </c>
      <c r="C433" s="3" t="s">
        <v>12</v>
      </c>
      <c r="D433" s="97" t="s">
        <v>77</v>
      </c>
      <c r="E433" s="90">
        <v>7</v>
      </c>
      <c r="F433" s="4">
        <f>VLOOKUP(D433,TABLE!$B$1:$C$137,2,FALSE)</f>
        <v>38.94</v>
      </c>
      <c r="G433" s="4">
        <f t="shared" si="6"/>
        <v>272.58</v>
      </c>
      <c r="H433" s="3" t="s">
        <v>15</v>
      </c>
    </row>
    <row r="434" spans="1:8" ht="18">
      <c r="A434" s="3" t="s">
        <v>258</v>
      </c>
      <c r="B434" s="3">
        <v>2025</v>
      </c>
      <c r="C434" s="3" t="s">
        <v>12</v>
      </c>
      <c r="D434" s="97" t="s">
        <v>122</v>
      </c>
      <c r="E434" s="90">
        <v>4</v>
      </c>
      <c r="F434" s="4">
        <f>VLOOKUP(D434,TABLE!$B$1:$C$137,2,FALSE)</f>
        <v>188.56</v>
      </c>
      <c r="G434" s="4">
        <f t="shared" si="6"/>
        <v>754.24</v>
      </c>
      <c r="H434" s="3" t="s">
        <v>243</v>
      </c>
    </row>
    <row r="435" spans="1:8" ht="18">
      <c r="A435" s="3" t="s">
        <v>258</v>
      </c>
      <c r="B435" s="3">
        <v>2025</v>
      </c>
      <c r="C435" s="3" t="s">
        <v>28</v>
      </c>
      <c r="D435" s="97" t="s">
        <v>84</v>
      </c>
      <c r="E435" s="90">
        <v>2</v>
      </c>
      <c r="F435" s="4">
        <f>VLOOKUP(D435,TABLE!$B$1:$C$137,2,FALSE)</f>
        <v>15.38</v>
      </c>
      <c r="G435" s="4">
        <f t="shared" si="6"/>
        <v>30.76</v>
      </c>
      <c r="H435" s="3" t="s">
        <v>246</v>
      </c>
    </row>
    <row r="436" spans="1:8" ht="18">
      <c r="A436" s="3" t="s">
        <v>258</v>
      </c>
      <c r="B436" s="3">
        <v>2025</v>
      </c>
      <c r="C436" s="3" t="s">
        <v>28</v>
      </c>
      <c r="D436" s="97" t="s">
        <v>85</v>
      </c>
      <c r="E436" s="90">
        <v>75</v>
      </c>
      <c r="F436" s="4">
        <f>VLOOKUP(D436,TABLE!$B$1:$C$137,2,FALSE)</f>
        <v>19.55</v>
      </c>
      <c r="G436" s="4">
        <f t="shared" si="6"/>
        <v>1466.25</v>
      </c>
      <c r="H436" s="3" t="s">
        <v>246</v>
      </c>
    </row>
    <row r="437" spans="1:8" ht="18">
      <c r="A437" s="3" t="s">
        <v>258</v>
      </c>
      <c r="B437" s="3">
        <v>2025</v>
      </c>
      <c r="C437" s="3" t="s">
        <v>28</v>
      </c>
      <c r="D437" s="97" t="s">
        <v>110</v>
      </c>
      <c r="E437" s="90">
        <v>1</v>
      </c>
      <c r="F437" s="4">
        <f>VLOOKUP(D437,TABLE!$B$1:$C$137,2,FALSE)</f>
        <v>26</v>
      </c>
      <c r="G437" s="4">
        <f t="shared" si="6"/>
        <v>26</v>
      </c>
      <c r="H437" s="3" t="s">
        <v>246</v>
      </c>
    </row>
    <row r="438" spans="1:8" ht="18">
      <c r="A438" s="3" t="s">
        <v>258</v>
      </c>
      <c r="B438" s="3">
        <v>2025</v>
      </c>
      <c r="C438" s="3" t="s">
        <v>28</v>
      </c>
      <c r="D438" s="97" t="s">
        <v>109</v>
      </c>
      <c r="E438" s="90">
        <v>1</v>
      </c>
      <c r="F438" s="4">
        <f>VLOOKUP(D438,TABLE!$B$1:$C$137,2,FALSE)</f>
        <v>19.75</v>
      </c>
      <c r="G438" s="4">
        <f t="shared" si="6"/>
        <v>19.75</v>
      </c>
      <c r="H438" s="3" t="s">
        <v>246</v>
      </c>
    </row>
    <row r="439" spans="1:8" ht="18">
      <c r="A439" s="3" t="s">
        <v>258</v>
      </c>
      <c r="B439" s="3">
        <v>2025</v>
      </c>
      <c r="C439" s="3" t="s">
        <v>28</v>
      </c>
      <c r="D439" s="97" t="s">
        <v>27</v>
      </c>
      <c r="E439" s="90">
        <v>1</v>
      </c>
      <c r="F439" s="4">
        <f>VLOOKUP(D439,TABLE!$B$1:$C$137,2,FALSE)</f>
        <v>11.59</v>
      </c>
      <c r="G439" s="4">
        <f t="shared" si="6"/>
        <v>11.59</v>
      </c>
      <c r="H439" s="3" t="s">
        <v>29</v>
      </c>
    </row>
    <row r="440" spans="1:8" ht="18">
      <c r="A440" s="3" t="s">
        <v>258</v>
      </c>
      <c r="B440" s="3">
        <v>2025</v>
      </c>
      <c r="C440" s="3" t="s">
        <v>28</v>
      </c>
      <c r="D440" s="97" t="s">
        <v>90</v>
      </c>
      <c r="E440" s="90">
        <v>2</v>
      </c>
      <c r="F440" s="4">
        <f>VLOOKUP(D440,TABLE!$B$1:$C$137,2,FALSE)</f>
        <v>40.71</v>
      </c>
      <c r="G440" s="4">
        <f t="shared" si="6"/>
        <v>81.42</v>
      </c>
      <c r="H440" s="3" t="s">
        <v>29</v>
      </c>
    </row>
    <row r="441" spans="1:8" ht="18">
      <c r="A441" s="3" t="s">
        <v>258</v>
      </c>
      <c r="B441" s="3">
        <v>2025</v>
      </c>
      <c r="C441" s="3" t="s">
        <v>28</v>
      </c>
      <c r="D441" s="97" t="s">
        <v>84</v>
      </c>
      <c r="E441" s="93">
        <v>1</v>
      </c>
      <c r="F441" s="4">
        <f>VLOOKUP(D441,TABLE!$B$1:$C$137,2,FALSE)</f>
        <v>15.38</v>
      </c>
      <c r="G441" s="4">
        <f t="shared" si="6"/>
        <v>15.38</v>
      </c>
      <c r="H441" s="3" t="s">
        <v>244</v>
      </c>
    </row>
    <row r="442" spans="1:8" ht="18">
      <c r="A442" s="3" t="s">
        <v>258</v>
      </c>
      <c r="B442" s="3">
        <v>2025</v>
      </c>
      <c r="C442" s="3" t="s">
        <v>28</v>
      </c>
      <c r="D442" s="97" t="s">
        <v>115</v>
      </c>
      <c r="E442" s="93">
        <v>2</v>
      </c>
      <c r="F442" s="4">
        <f>VLOOKUP(D442,TABLE!$B$1:$C$137,2,FALSE)</f>
        <v>19.739999999999998</v>
      </c>
      <c r="G442" s="4">
        <f t="shared" si="6"/>
        <v>39.479999999999997</v>
      </c>
      <c r="H442" s="3" t="s">
        <v>244</v>
      </c>
    </row>
    <row r="443" spans="1:8" ht="18">
      <c r="A443" s="3" t="s">
        <v>258</v>
      </c>
      <c r="B443" s="3">
        <v>2025</v>
      </c>
      <c r="C443" s="3" t="s">
        <v>28</v>
      </c>
      <c r="D443" s="97" t="s">
        <v>113</v>
      </c>
      <c r="E443" s="93">
        <v>1</v>
      </c>
      <c r="F443" s="4">
        <f>VLOOKUP(D443,TABLE!$B$1:$C$137,2,FALSE)</f>
        <v>52.3</v>
      </c>
      <c r="G443" s="4">
        <f t="shared" si="6"/>
        <v>52.3</v>
      </c>
      <c r="H443" s="3" t="s">
        <v>244</v>
      </c>
    </row>
    <row r="444" spans="1:8" ht="18">
      <c r="A444" s="3" t="s">
        <v>258</v>
      </c>
      <c r="B444" s="3">
        <v>2025</v>
      </c>
      <c r="C444" s="3" t="s">
        <v>28</v>
      </c>
      <c r="D444" s="97" t="s">
        <v>238</v>
      </c>
      <c r="E444" s="93">
        <v>1</v>
      </c>
      <c r="F444" s="4">
        <f>VLOOKUP(D444,TABLE!$B$1:$C$137,2,FALSE)</f>
        <v>6.26</v>
      </c>
      <c r="G444" s="4">
        <f t="shared" si="6"/>
        <v>6.26</v>
      </c>
      <c r="H444" s="3" t="s">
        <v>244</v>
      </c>
    </row>
    <row r="445" spans="1:8" ht="18">
      <c r="A445" s="3" t="s">
        <v>258</v>
      </c>
      <c r="B445" s="3">
        <v>2025</v>
      </c>
      <c r="C445" s="3" t="s">
        <v>28</v>
      </c>
      <c r="D445" s="97" t="s">
        <v>25</v>
      </c>
      <c r="E445" s="93">
        <v>7</v>
      </c>
      <c r="F445" s="4">
        <f>VLOOKUP(D445,TABLE!$B$1:$C$137,2,FALSE)</f>
        <v>20.04</v>
      </c>
      <c r="G445" s="4">
        <f t="shared" si="6"/>
        <v>140.28</v>
      </c>
      <c r="H445" s="3" t="s">
        <v>244</v>
      </c>
    </row>
    <row r="446" spans="1:8" ht="18">
      <c r="A446" s="3" t="s">
        <v>258</v>
      </c>
      <c r="B446" s="3">
        <v>2025</v>
      </c>
      <c r="C446" s="3" t="s">
        <v>28</v>
      </c>
      <c r="D446" s="97" t="s">
        <v>109</v>
      </c>
      <c r="E446" s="93">
        <v>2</v>
      </c>
      <c r="F446" s="4">
        <f>VLOOKUP(D446,TABLE!$B$1:$C$137,2,FALSE)</f>
        <v>19.75</v>
      </c>
      <c r="G446" s="4">
        <f t="shared" si="6"/>
        <v>39.5</v>
      </c>
      <c r="H446" s="3" t="s">
        <v>244</v>
      </c>
    </row>
    <row r="447" spans="1:8" ht="18">
      <c r="A447" s="3" t="s">
        <v>258</v>
      </c>
      <c r="B447" s="3">
        <v>2025</v>
      </c>
      <c r="C447" s="3" t="s">
        <v>28</v>
      </c>
      <c r="D447" s="97" t="s">
        <v>106</v>
      </c>
      <c r="E447" s="93">
        <v>1</v>
      </c>
      <c r="F447" s="4">
        <f>VLOOKUP(D447,TABLE!$B$1:$C$137,2,FALSE)</f>
        <v>81.11</v>
      </c>
      <c r="G447" s="4">
        <f t="shared" si="6"/>
        <v>81.11</v>
      </c>
      <c r="H447" s="3" t="s">
        <v>244</v>
      </c>
    </row>
    <row r="448" spans="1:8" ht="18">
      <c r="A448" s="3" t="s">
        <v>258</v>
      </c>
      <c r="B448" s="3">
        <v>2025</v>
      </c>
      <c r="C448" s="3" t="s">
        <v>28</v>
      </c>
      <c r="D448" s="97" t="s">
        <v>110</v>
      </c>
      <c r="E448" s="93">
        <v>80</v>
      </c>
      <c r="F448" s="4">
        <f>VLOOKUP(D448,TABLE!$B$1:$C$137,2,FALSE)</f>
        <v>26</v>
      </c>
      <c r="G448" s="4">
        <f t="shared" si="6"/>
        <v>2080</v>
      </c>
      <c r="H448" s="3" t="s">
        <v>259</v>
      </c>
    </row>
    <row r="449" spans="1:8" ht="18">
      <c r="A449" s="3" t="s">
        <v>248</v>
      </c>
      <c r="B449" s="3">
        <v>2025</v>
      </c>
      <c r="C449" s="3" t="s">
        <v>249</v>
      </c>
      <c r="D449" s="97" t="s">
        <v>68</v>
      </c>
      <c r="E449" s="90">
        <v>4</v>
      </c>
      <c r="F449" s="4" t="e">
        <f>VLOOKUP(D449,TABLE!$B$1:$C$137,2,FALSE)</f>
        <v>#N/A</v>
      </c>
      <c r="G449" s="4" t="e">
        <f>E449*F449</f>
        <v>#N/A</v>
      </c>
      <c r="H449" s="3" t="s">
        <v>246</v>
      </c>
    </row>
    <row r="450" spans="1:8" ht="18">
      <c r="A450" s="3" t="s">
        <v>248</v>
      </c>
      <c r="B450" s="3">
        <v>2025</v>
      </c>
      <c r="C450" s="3" t="s">
        <v>249</v>
      </c>
      <c r="D450" s="97" t="s">
        <v>71</v>
      </c>
      <c r="E450" s="90">
        <v>9</v>
      </c>
      <c r="F450" s="4">
        <f>VLOOKUP(D450,TABLE!$B$1:$C$137,2,FALSE)</f>
        <v>72.31</v>
      </c>
      <c r="G450" s="4">
        <f>E450*F450</f>
        <v>650.79</v>
      </c>
      <c r="H450" s="3" t="s">
        <v>250</v>
      </c>
    </row>
    <row r="451" spans="1:8" ht="18">
      <c r="A451" s="3" t="s">
        <v>248</v>
      </c>
      <c r="B451" s="3">
        <v>2025</v>
      </c>
      <c r="C451" s="3" t="s">
        <v>249</v>
      </c>
      <c r="D451" s="97" t="s">
        <v>71</v>
      </c>
      <c r="E451" s="90">
        <v>6</v>
      </c>
      <c r="F451" s="4">
        <f>VLOOKUP(D451,TABLE!$B$1:$C$137,2,FALSE)</f>
        <v>72.31</v>
      </c>
      <c r="G451" s="4">
        <f>E451*F451</f>
        <v>433.86</v>
      </c>
      <c r="H451" s="3" t="s">
        <v>245</v>
      </c>
    </row>
    <row r="452" spans="1:8" ht="18">
      <c r="A452" s="3" t="s">
        <v>248</v>
      </c>
      <c r="B452" s="3">
        <v>2025</v>
      </c>
      <c r="C452" s="3" t="s">
        <v>249</v>
      </c>
      <c r="D452" s="97" t="s">
        <v>71</v>
      </c>
      <c r="E452" s="90">
        <v>1</v>
      </c>
      <c r="F452" s="4">
        <f>VLOOKUP(D452,TABLE!$B$1:$C$137,2,FALSE)</f>
        <v>72.31</v>
      </c>
      <c r="G452" s="4">
        <f t="shared" ref="G452" si="7">E452*F452</f>
        <v>72.31</v>
      </c>
      <c r="H452" s="3" t="s">
        <v>251</v>
      </c>
    </row>
    <row r="453" spans="1:8" ht="18">
      <c r="A453" s="3" t="s">
        <v>248</v>
      </c>
      <c r="B453" s="3">
        <v>2025</v>
      </c>
      <c r="C453" s="3" t="s">
        <v>249</v>
      </c>
      <c r="D453" s="97" t="s">
        <v>31</v>
      </c>
      <c r="E453" s="90">
        <v>23</v>
      </c>
      <c r="F453" s="4">
        <f>VLOOKUP(D453,TABLE!$B$1:$C$137,2,FALSE)</f>
        <v>85.75</v>
      </c>
      <c r="G453" s="4">
        <f>E453*F453</f>
        <v>1972.25</v>
      </c>
      <c r="H453" s="3" t="s">
        <v>245</v>
      </c>
    </row>
    <row r="454" spans="1:8" ht="18">
      <c r="A454" s="3" t="s">
        <v>248</v>
      </c>
      <c r="B454" s="3">
        <v>2025</v>
      </c>
      <c r="C454" s="3" t="s">
        <v>249</v>
      </c>
      <c r="D454" s="97" t="s">
        <v>92</v>
      </c>
      <c r="E454" s="90">
        <v>1</v>
      </c>
      <c r="F454" s="4">
        <f>VLOOKUP(D454,TABLE!$B$1:$C$137,2,FALSE)</f>
        <v>77.69</v>
      </c>
      <c r="G454" s="4">
        <f>E454*F454</f>
        <v>77.69</v>
      </c>
      <c r="H454" s="3" t="s">
        <v>13</v>
      </c>
    </row>
    <row r="455" spans="1:8" ht="18">
      <c r="A455" s="3" t="s">
        <v>248</v>
      </c>
      <c r="B455" s="3">
        <v>2025</v>
      </c>
      <c r="C455" s="3" t="s">
        <v>249</v>
      </c>
      <c r="D455" s="97" t="s">
        <v>3</v>
      </c>
      <c r="E455" s="90">
        <v>1</v>
      </c>
      <c r="F455" s="4">
        <f>VLOOKUP(D455,TABLE!$B$1:$C$137,2,FALSE)</f>
        <v>85</v>
      </c>
      <c r="G455" s="4">
        <f>E455*F455</f>
        <v>85</v>
      </c>
      <c r="H455" s="3" t="s">
        <v>13</v>
      </c>
    </row>
    <row r="456" spans="1:8" ht="18">
      <c r="A456" s="3" t="s">
        <v>248</v>
      </c>
      <c r="B456" s="3">
        <v>2025</v>
      </c>
      <c r="C456" s="3" t="s">
        <v>12</v>
      </c>
      <c r="D456" s="97" t="s">
        <v>11</v>
      </c>
      <c r="E456" s="90">
        <v>9</v>
      </c>
      <c r="F456" s="4">
        <f>VLOOKUP(D456,TABLE!$B$1:$C$137,2,FALSE)</f>
        <v>32.32</v>
      </c>
      <c r="G456" s="4">
        <f t="shared" ref="G456:G474" si="8">E456*F456</f>
        <v>290.88</v>
      </c>
      <c r="H456" s="3" t="s">
        <v>251</v>
      </c>
    </row>
    <row r="457" spans="1:8" ht="18">
      <c r="A457" s="3" t="s">
        <v>248</v>
      </c>
      <c r="B457" s="3">
        <v>2025</v>
      </c>
      <c r="C457" s="3" t="s">
        <v>12</v>
      </c>
      <c r="D457" s="97" t="s">
        <v>37</v>
      </c>
      <c r="E457" s="90">
        <v>1</v>
      </c>
      <c r="F457" s="4">
        <f>VLOOKUP(D457,TABLE!$B$1:$C$137,2,FALSE)</f>
        <v>16.079999999999998</v>
      </c>
      <c r="G457" s="4">
        <f t="shared" si="8"/>
        <v>16.079999999999998</v>
      </c>
      <c r="H457" s="3" t="s">
        <v>251</v>
      </c>
    </row>
    <row r="458" spans="1:8" ht="18">
      <c r="A458" s="3" t="s">
        <v>248</v>
      </c>
      <c r="B458" s="3">
        <v>2025</v>
      </c>
      <c r="C458" s="3" t="s">
        <v>12</v>
      </c>
      <c r="D458" s="97" t="s">
        <v>19</v>
      </c>
      <c r="E458" s="90">
        <v>4</v>
      </c>
      <c r="F458" s="4">
        <f>VLOOKUP(D458,TABLE!$B$1:$C$137,2,FALSE)</f>
        <v>23.91</v>
      </c>
      <c r="G458" s="4">
        <f t="shared" si="8"/>
        <v>95.64</v>
      </c>
      <c r="H458" s="3" t="s">
        <v>251</v>
      </c>
    </row>
    <row r="459" spans="1:8" ht="18">
      <c r="A459" s="3" t="s">
        <v>248</v>
      </c>
      <c r="B459" s="3">
        <v>2025</v>
      </c>
      <c r="C459" s="3" t="s">
        <v>12</v>
      </c>
      <c r="D459" s="97" t="s">
        <v>38</v>
      </c>
      <c r="E459" s="90">
        <v>3</v>
      </c>
      <c r="F459" s="4">
        <f>VLOOKUP(D459,TABLE!$B$1:$C$137,2,FALSE)</f>
        <v>27.14</v>
      </c>
      <c r="G459" s="4">
        <f t="shared" si="8"/>
        <v>81.42</v>
      </c>
      <c r="H459" s="3" t="s">
        <v>251</v>
      </c>
    </row>
    <row r="460" spans="1:8" ht="18">
      <c r="A460" s="3" t="s">
        <v>248</v>
      </c>
      <c r="B460" s="3">
        <v>2025</v>
      </c>
      <c r="C460" s="3" t="s">
        <v>12</v>
      </c>
      <c r="D460" s="97" t="s">
        <v>21</v>
      </c>
      <c r="E460" s="90">
        <v>5</v>
      </c>
      <c r="F460" s="4">
        <f>VLOOKUP(D460,TABLE!$B$1:$C$137,2,FALSE)</f>
        <v>44.78</v>
      </c>
      <c r="G460" s="4">
        <f t="shared" si="8"/>
        <v>223.9</v>
      </c>
      <c r="H460" s="3" t="s">
        <v>251</v>
      </c>
    </row>
    <row r="461" spans="1:8" ht="18">
      <c r="A461" s="3" t="s">
        <v>248</v>
      </c>
      <c r="B461" s="3">
        <v>2025</v>
      </c>
      <c r="C461" s="3" t="s">
        <v>12</v>
      </c>
      <c r="D461" s="97" t="s">
        <v>22</v>
      </c>
      <c r="E461" s="90">
        <v>1</v>
      </c>
      <c r="F461" s="4">
        <f>VLOOKUP(D461,TABLE!$B$1:$C$137,2,FALSE)</f>
        <v>55.28</v>
      </c>
      <c r="G461" s="4">
        <f t="shared" si="8"/>
        <v>55.28</v>
      </c>
      <c r="H461" s="3" t="s">
        <v>251</v>
      </c>
    </row>
    <row r="462" spans="1:8" ht="18">
      <c r="A462" s="3" t="s">
        <v>248</v>
      </c>
      <c r="B462" s="3">
        <v>2025</v>
      </c>
      <c r="C462" s="3" t="s">
        <v>12</v>
      </c>
      <c r="D462" s="97" t="s">
        <v>62</v>
      </c>
      <c r="E462" s="90">
        <v>28</v>
      </c>
      <c r="F462" s="4">
        <f>VLOOKUP(D462,TABLE!$B$1:$C$137,2,FALSE)</f>
        <v>43.37</v>
      </c>
      <c r="G462" s="4">
        <f t="shared" si="8"/>
        <v>1214.3599999999999</v>
      </c>
      <c r="H462" s="3" t="s">
        <v>260</v>
      </c>
    </row>
    <row r="463" spans="1:8" ht="18">
      <c r="A463" s="3" t="s">
        <v>248</v>
      </c>
      <c r="B463" s="3">
        <v>2025</v>
      </c>
      <c r="C463" s="3" t="s">
        <v>12</v>
      </c>
      <c r="D463" s="97" t="s">
        <v>40</v>
      </c>
      <c r="E463" s="90">
        <v>1</v>
      </c>
      <c r="F463" s="4">
        <f>VLOOKUP(D463,TABLE!$B$1:$C$137,2,FALSE)</f>
        <v>53.57</v>
      </c>
      <c r="G463" s="4">
        <f t="shared" si="8"/>
        <v>53.57</v>
      </c>
      <c r="H463" s="3" t="s">
        <v>13</v>
      </c>
    </row>
    <row r="464" spans="1:8" ht="18">
      <c r="A464" s="3" t="s">
        <v>248</v>
      </c>
      <c r="B464" s="3">
        <v>2025</v>
      </c>
      <c r="C464" s="3" t="s">
        <v>28</v>
      </c>
      <c r="D464" s="97" t="s">
        <v>27</v>
      </c>
      <c r="E464" s="90">
        <v>22</v>
      </c>
      <c r="F464" s="4">
        <f>VLOOKUP(D464,TABLE!$B$1:$C$137,2,FALSE)</f>
        <v>11.59</v>
      </c>
      <c r="G464" s="4">
        <f t="shared" si="8"/>
        <v>254.98</v>
      </c>
      <c r="H464" s="3" t="s">
        <v>29</v>
      </c>
    </row>
    <row r="465" spans="1:8" ht="18">
      <c r="A465" s="3" t="s">
        <v>248</v>
      </c>
      <c r="B465" s="3">
        <v>2025</v>
      </c>
      <c r="C465" s="3" t="s">
        <v>28</v>
      </c>
      <c r="D465" s="97" t="s">
        <v>115</v>
      </c>
      <c r="E465" s="90">
        <v>7</v>
      </c>
      <c r="F465" s="4">
        <f>VLOOKUP(D465,TABLE!$B$1:$C$137,2,FALSE)</f>
        <v>19.739999999999998</v>
      </c>
      <c r="G465" s="4">
        <f t="shared" si="8"/>
        <v>138.17999999999998</v>
      </c>
      <c r="H465" s="3" t="s">
        <v>246</v>
      </c>
    </row>
    <row r="466" spans="1:8" ht="18">
      <c r="A466" s="3" t="s">
        <v>248</v>
      </c>
      <c r="B466" s="3">
        <v>2025</v>
      </c>
      <c r="C466" s="3" t="s">
        <v>28</v>
      </c>
      <c r="D466" s="97" t="s">
        <v>114</v>
      </c>
      <c r="E466" s="90">
        <v>7</v>
      </c>
      <c r="F466" s="4">
        <f>VLOOKUP(D466,TABLE!$B$1:$C$137,2,FALSE)</f>
        <v>20.72</v>
      </c>
      <c r="G466" s="4">
        <f t="shared" si="8"/>
        <v>145.04</v>
      </c>
      <c r="H466" s="3" t="s">
        <v>246</v>
      </c>
    </row>
    <row r="467" spans="1:8" ht="18">
      <c r="A467" s="3" t="s">
        <v>248</v>
      </c>
      <c r="B467" s="3">
        <v>2025</v>
      </c>
      <c r="C467" s="3" t="s">
        <v>28</v>
      </c>
      <c r="D467" s="97" t="s">
        <v>111</v>
      </c>
      <c r="E467" s="90">
        <v>172</v>
      </c>
      <c r="F467" s="4">
        <f>VLOOKUP(D467,TABLE!$B$1:$C$137,2,FALSE)</f>
        <v>23.07</v>
      </c>
      <c r="G467" s="4">
        <f t="shared" si="8"/>
        <v>3968.04</v>
      </c>
      <c r="H467" s="3" t="s">
        <v>259</v>
      </c>
    </row>
    <row r="468" spans="1:8" ht="18">
      <c r="A468" s="3" t="s">
        <v>248</v>
      </c>
      <c r="B468" s="3">
        <v>2025</v>
      </c>
      <c r="C468" s="3" t="s">
        <v>28</v>
      </c>
      <c r="D468" s="97" t="s">
        <v>109</v>
      </c>
      <c r="E468" s="90">
        <v>5</v>
      </c>
      <c r="F468" s="4">
        <f>VLOOKUP(D468,TABLE!$B$1:$C$137,2,FALSE)</f>
        <v>19.75</v>
      </c>
      <c r="G468" s="4">
        <f t="shared" si="8"/>
        <v>98.75</v>
      </c>
      <c r="H468" s="3" t="s">
        <v>246</v>
      </c>
    </row>
    <row r="469" spans="1:8" ht="18">
      <c r="A469" s="3" t="s">
        <v>248</v>
      </c>
      <c r="B469" s="3">
        <v>2025</v>
      </c>
      <c r="C469" s="3" t="s">
        <v>28</v>
      </c>
      <c r="D469" s="97" t="s">
        <v>107</v>
      </c>
      <c r="E469" s="90">
        <v>5</v>
      </c>
      <c r="F469" s="4">
        <f>VLOOKUP(D469,TABLE!$B$1:$C$137,2,FALSE)</f>
        <v>82.97</v>
      </c>
      <c r="G469" s="4">
        <f t="shared" si="8"/>
        <v>414.85</v>
      </c>
      <c r="H469" s="3" t="s">
        <v>246</v>
      </c>
    </row>
    <row r="470" spans="1:8" ht="18">
      <c r="A470" s="3" t="s">
        <v>248</v>
      </c>
      <c r="B470" s="3">
        <v>2025</v>
      </c>
      <c r="C470" s="3" t="s">
        <v>28</v>
      </c>
      <c r="D470" s="97" t="s">
        <v>27</v>
      </c>
      <c r="E470" s="90">
        <v>14</v>
      </c>
      <c r="F470" s="4">
        <f>VLOOKUP(D470,TABLE!$B$1:$C$137,2,FALSE)</f>
        <v>11.59</v>
      </c>
      <c r="G470" s="4">
        <f t="shared" si="8"/>
        <v>162.26</v>
      </c>
      <c r="H470" s="3" t="s">
        <v>246</v>
      </c>
    </row>
    <row r="471" spans="1:8" ht="18">
      <c r="A471" s="3" t="s">
        <v>248</v>
      </c>
      <c r="B471" s="3">
        <v>2025</v>
      </c>
      <c r="C471" s="3" t="s">
        <v>28</v>
      </c>
      <c r="D471" s="97" t="s">
        <v>84</v>
      </c>
      <c r="E471" s="90">
        <v>14</v>
      </c>
      <c r="F471" s="4">
        <f>VLOOKUP(D471,TABLE!$B$1:$C$137,2,FALSE)</f>
        <v>15.38</v>
      </c>
      <c r="G471" s="4">
        <f t="shared" si="8"/>
        <v>215.32000000000002</v>
      </c>
      <c r="H471" s="3" t="s">
        <v>244</v>
      </c>
    </row>
    <row r="472" spans="1:8" ht="18">
      <c r="A472" s="3" t="s">
        <v>248</v>
      </c>
      <c r="B472" s="3">
        <v>2025</v>
      </c>
      <c r="C472" s="3" t="s">
        <v>28</v>
      </c>
      <c r="D472" s="97" t="s">
        <v>85</v>
      </c>
      <c r="E472" s="90">
        <v>3</v>
      </c>
      <c r="F472" s="4">
        <f>VLOOKUP(D472,TABLE!$B$1:$C$137,2,FALSE)</f>
        <v>19.55</v>
      </c>
      <c r="G472" s="4">
        <f t="shared" si="8"/>
        <v>58.650000000000006</v>
      </c>
      <c r="H472" s="3" t="s">
        <v>244</v>
      </c>
    </row>
    <row r="473" spans="1:8" ht="18">
      <c r="A473" s="3" t="s">
        <v>248</v>
      </c>
      <c r="B473" s="3">
        <v>2025</v>
      </c>
      <c r="C473" s="3" t="s">
        <v>28</v>
      </c>
      <c r="D473" s="97" t="s">
        <v>25</v>
      </c>
      <c r="E473" s="90">
        <v>13</v>
      </c>
      <c r="F473" s="4">
        <f>VLOOKUP(D473,TABLE!$B$1:$C$137,2,FALSE)</f>
        <v>20.04</v>
      </c>
      <c r="G473" s="4">
        <f t="shared" si="8"/>
        <v>260.52</v>
      </c>
      <c r="H473" s="3" t="s">
        <v>244</v>
      </c>
    </row>
    <row r="474" spans="1:8" ht="18">
      <c r="A474" s="3" t="s">
        <v>248</v>
      </c>
      <c r="B474" s="3">
        <v>2025</v>
      </c>
      <c r="C474" s="3" t="s">
        <v>28</v>
      </c>
      <c r="D474" s="97" t="s">
        <v>90</v>
      </c>
      <c r="E474" s="90">
        <v>1</v>
      </c>
      <c r="F474" s="4">
        <f>VLOOKUP(D474,TABLE!$B$1:$C$137,2,FALSE)</f>
        <v>40.71</v>
      </c>
      <c r="G474" s="4">
        <f t="shared" si="8"/>
        <v>40.71</v>
      </c>
      <c r="H474" s="3" t="s">
        <v>244</v>
      </c>
    </row>
    <row r="475" spans="1:8" ht="18">
      <c r="D475" s="97"/>
    </row>
  </sheetData>
  <autoFilter ref="A1:H315" xr:uid="{037BD64C-5ABE-429A-A310-ECB460933B6C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D163AE-5874-4E82-AA1D-F98497DF444A}">
          <x14:formula1>
            <xm:f>'SCRAP DATATABLE'!$O$2:$O$27</xm:f>
          </x14:formula1>
          <xm:sqref>H249:H251 H255:H257 H323 H345 H355 H362:H365 H409:H411 H435:H438</xm:sqref>
        </x14:dataValidation>
        <x14:dataValidation type="list" allowBlank="1" showInputMessage="1" showErrorMessage="1" xr:uid="{A16A604A-0D1E-4DB6-8179-090925B3FC7B}">
          <x14:formula1>
            <xm:f>'SCRAP DATATABLE'!$O$2:$O$26</xm:f>
          </x14:formula1>
          <xm:sqref>H202 H204:H206 H218 H222:H227 H244 H272:H273 H294:H297 H285:H286 H328 H344 H361 H390:H393 H421:H425 H456:H461 H449:H453 H465:H466 H468:H470 H475:H1048576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C348-F4A0-4739-8F2A-724C18093D54}">
  <dimension ref="A1:P65"/>
  <sheetViews>
    <sheetView topLeftCell="A4" workbookViewId="0">
      <selection activeCell="G19" sqref="G19"/>
    </sheetView>
  </sheetViews>
  <sheetFormatPr defaultRowHeight="12.75"/>
  <cols>
    <col min="1" max="1" width="10.7109375" style="30" customWidth="1"/>
    <col min="2" max="2" width="32.42578125" style="30" bestFit="1" customWidth="1"/>
    <col min="3" max="4" width="11.140625" style="30" customWidth="1"/>
    <col min="5" max="5" width="9.140625" style="30"/>
    <col min="6" max="6" width="29.42578125" style="30" customWidth="1"/>
    <col min="7" max="7" width="14" style="30" customWidth="1"/>
    <col min="8" max="8" width="9.140625" style="30"/>
    <col min="9" max="9" width="11.7109375" style="30" customWidth="1"/>
    <col min="10" max="10" width="36.140625" style="30" bestFit="1" customWidth="1"/>
    <col min="11" max="12" width="9.140625" style="30"/>
    <col min="13" max="13" width="20.140625" style="30" hidden="1" customWidth="1"/>
    <col min="14" max="14" width="26.7109375" style="30" hidden="1" customWidth="1"/>
    <col min="15" max="15" width="32.140625" style="30" customWidth="1"/>
    <col min="16" max="16" width="15.7109375" style="30" customWidth="1"/>
    <col min="17" max="16384" width="9.140625" style="30"/>
  </cols>
  <sheetData>
    <row r="1" spans="1:16" ht="24">
      <c r="A1" s="46" t="s">
        <v>180</v>
      </c>
      <c r="B1" s="47" t="s">
        <v>7</v>
      </c>
      <c r="C1" s="48" t="s">
        <v>181</v>
      </c>
      <c r="D1" s="49"/>
      <c r="E1" s="50" t="s">
        <v>182</v>
      </c>
      <c r="F1" s="47" t="s">
        <v>183</v>
      </c>
      <c r="G1" s="51" t="s">
        <v>181</v>
      </c>
      <c r="I1" s="50" t="s">
        <v>184</v>
      </c>
      <c r="J1" s="47" t="s">
        <v>28</v>
      </c>
      <c r="K1" s="52" t="s">
        <v>181</v>
      </c>
      <c r="O1" s="53" t="s">
        <v>185</v>
      </c>
      <c r="P1" s="53" t="s">
        <v>186</v>
      </c>
    </row>
    <row r="2" spans="1:16" ht="14.25">
      <c r="A2" s="41">
        <v>1</v>
      </c>
      <c r="B2" s="39" t="s">
        <v>89</v>
      </c>
      <c r="C2" s="37">
        <v>148.94999999999999</v>
      </c>
      <c r="D2" s="54"/>
      <c r="E2" s="42">
        <v>1</v>
      </c>
      <c r="F2" s="33" t="s">
        <v>14</v>
      </c>
      <c r="G2" s="35">
        <v>47.43</v>
      </c>
      <c r="I2" s="33">
        <v>1</v>
      </c>
      <c r="J2" s="33" t="s">
        <v>84</v>
      </c>
      <c r="K2" s="31">
        <v>15.83</v>
      </c>
      <c r="M2" s="55" t="s">
        <v>187</v>
      </c>
      <c r="N2" s="55" t="s">
        <v>188</v>
      </c>
      <c r="O2" s="42" t="str">
        <f>_xlfn.TEXTJOIN(,TRUE,M2,N2)</f>
        <v>BADSCAL</v>
      </c>
      <c r="P2" s="42" t="s">
        <v>7</v>
      </c>
    </row>
    <row r="3" spans="1:16" ht="14.25">
      <c r="A3" s="41">
        <v>2</v>
      </c>
      <c r="B3" s="39" t="s">
        <v>87</v>
      </c>
      <c r="C3" s="37">
        <v>223.33</v>
      </c>
      <c r="D3" s="54"/>
      <c r="E3" s="42">
        <v>2</v>
      </c>
      <c r="F3" s="33" t="s">
        <v>42</v>
      </c>
      <c r="G3" s="35">
        <v>56.81</v>
      </c>
      <c r="I3" s="33">
        <v>2</v>
      </c>
      <c r="J3" s="34" t="s">
        <v>118</v>
      </c>
      <c r="K3" s="31">
        <v>52.49</v>
      </c>
      <c r="M3" s="55" t="s">
        <v>189</v>
      </c>
      <c r="N3" s="55" t="s">
        <v>8</v>
      </c>
      <c r="O3" s="42" t="str">
        <f>_xlfn.TEXTJOIN( ,TRUE,M3,N3)</f>
        <v>CRACKSF/fault</v>
      </c>
      <c r="P3" s="42" t="s">
        <v>183</v>
      </c>
    </row>
    <row r="4" spans="1:16" ht="14.25">
      <c r="A4" s="41">
        <v>3</v>
      </c>
      <c r="B4" s="39" t="s">
        <v>173</v>
      </c>
      <c r="C4" s="37"/>
      <c r="D4" s="54"/>
      <c r="E4" s="42">
        <v>3</v>
      </c>
      <c r="F4" s="33" t="s">
        <v>11</v>
      </c>
      <c r="G4" s="35">
        <v>33.33</v>
      </c>
      <c r="I4" s="33">
        <v>3</v>
      </c>
      <c r="J4" s="34" t="s">
        <v>117</v>
      </c>
      <c r="K4" s="31">
        <v>58</v>
      </c>
      <c r="M4" s="55"/>
      <c r="N4" s="55" t="s">
        <v>190</v>
      </c>
      <c r="O4" s="42" t="str">
        <f t="shared" ref="O4:O10" si="0">_xlfn.TEXTJOIN( ,TRUE,M4,N4)</f>
        <v>H.T.</v>
      </c>
      <c r="P4" s="42" t="s">
        <v>28</v>
      </c>
    </row>
    <row r="5" spans="1:16" ht="14.25">
      <c r="A5" s="41">
        <v>4</v>
      </c>
      <c r="B5" s="39" t="s">
        <v>172</v>
      </c>
      <c r="C5" s="37"/>
      <c r="D5" s="54"/>
      <c r="E5" s="42">
        <v>4</v>
      </c>
      <c r="F5" s="33" t="s">
        <v>132</v>
      </c>
      <c r="G5" s="35">
        <v>15.96</v>
      </c>
      <c r="I5" s="33">
        <v>4</v>
      </c>
      <c r="J5" s="33" t="s">
        <v>116</v>
      </c>
      <c r="K5" s="31">
        <v>23.09</v>
      </c>
      <c r="M5" s="55" t="s">
        <v>191</v>
      </c>
      <c r="N5" s="55" t="s">
        <v>192</v>
      </c>
      <c r="O5" s="42" t="str">
        <f t="shared" si="0"/>
        <v>W/BDAM.</v>
      </c>
      <c r="P5" s="42"/>
    </row>
    <row r="6" spans="1:16" ht="14.25">
      <c r="A6" s="56">
        <v>5</v>
      </c>
      <c r="B6" s="39" t="s">
        <v>171</v>
      </c>
      <c r="C6" s="37">
        <v>55.04</v>
      </c>
      <c r="D6" s="54"/>
      <c r="E6" s="42">
        <v>5</v>
      </c>
      <c r="F6" s="33" t="s">
        <v>131</v>
      </c>
      <c r="G6" s="35">
        <v>24.51</v>
      </c>
      <c r="I6" s="33">
        <v>5</v>
      </c>
      <c r="J6" s="33" t="s">
        <v>115</v>
      </c>
      <c r="K6" s="31">
        <v>19.87</v>
      </c>
      <c r="M6" s="55" t="s">
        <v>193</v>
      </c>
      <c r="N6" s="55" t="s">
        <v>194</v>
      </c>
      <c r="O6" s="42" t="str">
        <f t="shared" si="0"/>
        <v>UNDRER FILL</v>
      </c>
      <c r="P6" s="42"/>
    </row>
    <row r="7" spans="1:16" ht="14.25">
      <c r="A7" s="41">
        <v>6</v>
      </c>
      <c r="B7" s="39" t="s">
        <v>170</v>
      </c>
      <c r="C7" s="37">
        <v>40.74</v>
      </c>
      <c r="D7" s="54"/>
      <c r="E7" s="42">
        <v>6</v>
      </c>
      <c r="F7" s="33" t="s">
        <v>130</v>
      </c>
      <c r="G7" s="35">
        <v>16.59</v>
      </c>
      <c r="I7" s="33">
        <v>6</v>
      </c>
      <c r="J7" s="33" t="s">
        <v>114</v>
      </c>
      <c r="K7" s="31">
        <v>20.86</v>
      </c>
      <c r="M7" s="55" t="s">
        <v>195</v>
      </c>
      <c r="N7" s="55" t="s">
        <v>196</v>
      </c>
      <c r="O7" s="42" t="str">
        <f t="shared" si="0"/>
        <v>BENT/ OFFSET</v>
      </c>
      <c r="P7" s="42"/>
    </row>
    <row r="8" spans="1:16" ht="14.25">
      <c r="A8" s="41">
        <v>7</v>
      </c>
      <c r="B8" s="39" t="s">
        <v>71</v>
      </c>
      <c r="C8" s="37">
        <v>58.68</v>
      </c>
      <c r="D8" s="54"/>
      <c r="E8" s="42">
        <v>7</v>
      </c>
      <c r="F8" s="33" t="s">
        <v>129</v>
      </c>
      <c r="G8" s="35">
        <v>25.45</v>
      </c>
      <c r="I8" s="33">
        <v>7</v>
      </c>
      <c r="J8" s="33" t="s">
        <v>113</v>
      </c>
      <c r="K8" s="31">
        <v>52.5</v>
      </c>
      <c r="M8" s="55" t="s">
        <v>192</v>
      </c>
      <c r="N8" s="55" t="s">
        <v>197</v>
      </c>
      <c r="O8" s="42" t="str">
        <f t="shared" si="0"/>
        <v>DAM.EYE</v>
      </c>
      <c r="P8" s="42"/>
    </row>
    <row r="9" spans="1:16" ht="14.25">
      <c r="A9" s="41">
        <v>8</v>
      </c>
      <c r="B9" s="39" t="s">
        <v>169</v>
      </c>
      <c r="C9" s="37">
        <v>70.08</v>
      </c>
      <c r="D9" s="54"/>
      <c r="E9" s="42">
        <v>8</v>
      </c>
      <c r="F9" s="33" t="s">
        <v>128</v>
      </c>
      <c r="G9" s="35">
        <v>15.96</v>
      </c>
      <c r="I9" s="33">
        <v>8</v>
      </c>
      <c r="J9" s="33" t="s">
        <v>85</v>
      </c>
      <c r="K9" s="31">
        <v>19.68</v>
      </c>
      <c r="M9" s="55" t="s">
        <v>179</v>
      </c>
      <c r="N9" s="55" t="s">
        <v>198</v>
      </c>
      <c r="O9" s="42" t="str">
        <f t="shared" si="0"/>
        <v>CRACKBOX</v>
      </c>
      <c r="P9" s="42"/>
    </row>
    <row r="10" spans="1:16" ht="14.25">
      <c r="A10" s="41">
        <v>9</v>
      </c>
      <c r="B10" s="39" t="s">
        <v>72</v>
      </c>
      <c r="C10" s="37">
        <v>78.3</v>
      </c>
      <c r="D10" s="54"/>
      <c r="E10" s="42">
        <v>9</v>
      </c>
      <c r="F10" s="33" t="s">
        <v>127</v>
      </c>
      <c r="G10" s="35">
        <v>24.7</v>
      </c>
      <c r="I10" s="33">
        <v>9</v>
      </c>
      <c r="J10" s="33" t="s">
        <v>112</v>
      </c>
      <c r="K10" s="31">
        <v>21.69</v>
      </c>
      <c r="M10" s="55" t="s">
        <v>199</v>
      </c>
      <c r="N10" s="55" t="s">
        <v>200</v>
      </c>
      <c r="O10" s="42" t="str">
        <f t="shared" si="0"/>
        <v>WRONG STAMP</v>
      </c>
      <c r="P10" s="42"/>
    </row>
    <row r="11" spans="1:16" ht="14.25">
      <c r="A11" s="41">
        <v>10</v>
      </c>
      <c r="B11" s="39" t="s">
        <v>30</v>
      </c>
      <c r="C11" s="37">
        <v>79.3</v>
      </c>
      <c r="D11" s="54"/>
      <c r="E11" s="42">
        <v>10</v>
      </c>
      <c r="F11" s="33" t="s">
        <v>37</v>
      </c>
      <c r="G11" s="35">
        <v>16.89</v>
      </c>
      <c r="I11" s="33">
        <v>10</v>
      </c>
      <c r="J11" s="33" t="s">
        <v>111</v>
      </c>
      <c r="K11" s="31">
        <v>21.69</v>
      </c>
      <c r="M11" s="55" t="s">
        <v>201</v>
      </c>
      <c r="N11" s="55" t="s">
        <v>202</v>
      </c>
      <c r="O11" s="42" t="str">
        <f>_xlfn.TEXTJOIN( ,TRUE,M11,N11)</f>
        <v>CLAWEND SHORT</v>
      </c>
      <c r="P11" s="42"/>
    </row>
    <row r="12" spans="1:16" ht="14.25">
      <c r="A12" s="41">
        <v>11</v>
      </c>
      <c r="B12" s="39" t="s">
        <v>168</v>
      </c>
      <c r="C12" s="37">
        <v>84.52</v>
      </c>
      <c r="D12" s="54"/>
      <c r="E12" s="42">
        <v>11</v>
      </c>
      <c r="F12" s="33" t="s">
        <v>17</v>
      </c>
      <c r="G12" s="35">
        <v>18.440000000000001</v>
      </c>
      <c r="I12" s="33">
        <v>11</v>
      </c>
      <c r="J12" s="33" t="s">
        <v>110</v>
      </c>
      <c r="K12" s="31">
        <v>24.44</v>
      </c>
      <c r="M12" s="55" t="s">
        <v>203</v>
      </c>
      <c r="N12" s="55" t="s">
        <v>204</v>
      </c>
      <c r="O12" s="42" t="str">
        <f t="shared" ref="O12:O16" si="1">_xlfn.TEXTJOIN(,TRUE,M12,N12)</f>
        <v>BAD GRI/POL</v>
      </c>
      <c r="P12" s="42"/>
    </row>
    <row r="13" spans="1:16" ht="14.25">
      <c r="A13" s="41">
        <v>12</v>
      </c>
      <c r="B13" s="39" t="s">
        <v>31</v>
      </c>
      <c r="C13" s="37">
        <v>86.22</v>
      </c>
      <c r="D13" s="54"/>
      <c r="E13" s="42">
        <v>12</v>
      </c>
      <c r="F13" s="33" t="s">
        <v>126</v>
      </c>
      <c r="G13" s="35">
        <v>23.61</v>
      </c>
      <c r="I13" s="33">
        <v>12</v>
      </c>
      <c r="J13" s="33" t="s">
        <v>109</v>
      </c>
      <c r="K13" s="31">
        <v>19.899999999999999</v>
      </c>
      <c r="M13" s="55" t="s">
        <v>205</v>
      </c>
      <c r="N13" s="55" t="s">
        <v>206</v>
      </c>
      <c r="O13" s="42" t="str">
        <f t="shared" si="1"/>
        <v>COIL DAMAGE</v>
      </c>
      <c r="P13" s="42"/>
    </row>
    <row r="14" spans="1:16" ht="14.25">
      <c r="A14" s="41">
        <v>13</v>
      </c>
      <c r="B14" s="39" t="s">
        <v>65</v>
      </c>
      <c r="C14" s="37">
        <v>37.1</v>
      </c>
      <c r="D14" s="54"/>
      <c r="E14" s="42">
        <v>13</v>
      </c>
      <c r="F14" s="33" t="s">
        <v>18</v>
      </c>
      <c r="G14" s="35">
        <v>19.14</v>
      </c>
      <c r="I14" s="33">
        <v>13</v>
      </c>
      <c r="J14" s="33" t="s">
        <v>25</v>
      </c>
      <c r="K14" s="31">
        <v>20.190000000000001</v>
      </c>
      <c r="M14" s="55" t="s">
        <v>207</v>
      </c>
      <c r="N14" s="55" t="s">
        <v>208</v>
      </c>
      <c r="O14" s="42" t="str">
        <f t="shared" si="1"/>
        <v>TEST SAMPLES</v>
      </c>
      <c r="P14" s="42"/>
    </row>
    <row r="15" spans="1:16" ht="14.25">
      <c r="A15" s="56">
        <v>14</v>
      </c>
      <c r="B15" s="39" t="s">
        <v>252</v>
      </c>
      <c r="C15" s="37">
        <v>43.55</v>
      </c>
      <c r="D15" s="54"/>
      <c r="E15" s="42">
        <v>14</v>
      </c>
      <c r="F15" s="33" t="s">
        <v>19</v>
      </c>
      <c r="G15" s="35">
        <v>26.49</v>
      </c>
      <c r="I15" s="33">
        <v>14</v>
      </c>
      <c r="J15" s="33" t="s">
        <v>108</v>
      </c>
      <c r="K15" s="31">
        <v>22.86</v>
      </c>
      <c r="M15" s="57" t="s">
        <v>209</v>
      </c>
      <c r="N15" s="57"/>
      <c r="O15" s="42" t="str">
        <f t="shared" si="1"/>
        <v>BROKEN</v>
      </c>
    </row>
    <row r="16" spans="1:16" ht="14.25">
      <c r="A16" s="41">
        <v>15</v>
      </c>
      <c r="B16" s="39" t="s">
        <v>167</v>
      </c>
      <c r="C16" s="37">
        <v>53.01</v>
      </c>
      <c r="D16" s="54"/>
      <c r="E16" s="42">
        <v>15</v>
      </c>
      <c r="F16" s="33" t="s">
        <v>125</v>
      </c>
      <c r="G16" s="35">
        <v>28.95</v>
      </c>
      <c r="I16" s="33">
        <v>15</v>
      </c>
      <c r="J16" s="32" t="s">
        <v>107</v>
      </c>
      <c r="K16" s="31">
        <v>79.02</v>
      </c>
      <c r="M16" s="57" t="s">
        <v>210</v>
      </c>
      <c r="N16" s="58" t="s">
        <v>211</v>
      </c>
      <c r="O16" s="42" t="str">
        <f t="shared" si="1"/>
        <v>MOULDING PROBLEM</v>
      </c>
    </row>
    <row r="17" spans="1:15" ht="14.25">
      <c r="A17" s="56">
        <v>16</v>
      </c>
      <c r="B17" s="39" t="s">
        <v>166</v>
      </c>
      <c r="C17" s="37">
        <v>68.47</v>
      </c>
      <c r="D17" s="54"/>
      <c r="E17" s="42">
        <v>16</v>
      </c>
      <c r="F17" s="33" t="s">
        <v>38</v>
      </c>
      <c r="G17" s="35">
        <v>30.15</v>
      </c>
      <c r="I17" s="33">
        <v>16</v>
      </c>
      <c r="J17" s="32" t="s">
        <v>106</v>
      </c>
      <c r="K17" s="31">
        <v>78</v>
      </c>
      <c r="M17" s="57"/>
      <c r="N17" s="59" t="s">
        <v>179</v>
      </c>
      <c r="O17" s="42" t="str">
        <f>_xlfn.TEXTJOIN(,TRUE,M17,N17)</f>
        <v>CRACK</v>
      </c>
    </row>
    <row r="18" spans="1:15" ht="14.25">
      <c r="A18" s="41">
        <v>17</v>
      </c>
      <c r="B18" s="39" t="s">
        <v>165</v>
      </c>
      <c r="C18" s="37">
        <v>70.67</v>
      </c>
      <c r="D18" s="54"/>
      <c r="E18" s="42">
        <v>17</v>
      </c>
      <c r="F18" s="33" t="s">
        <v>39</v>
      </c>
      <c r="G18" s="35">
        <v>40.72</v>
      </c>
      <c r="I18" s="33">
        <v>17</v>
      </c>
      <c r="J18" s="32" t="s">
        <v>58</v>
      </c>
      <c r="K18" s="31">
        <v>14</v>
      </c>
      <c r="M18" s="57"/>
      <c r="N18" s="57" t="s">
        <v>212</v>
      </c>
      <c r="O18" s="42" t="str">
        <f>_xlfn.TEXTJOIN(,TRUE,M18,N18)</f>
        <v>OTHER</v>
      </c>
    </row>
    <row r="19" spans="1:15" ht="14.25">
      <c r="A19" s="56">
        <v>18</v>
      </c>
      <c r="B19" s="39" t="s">
        <v>92</v>
      </c>
      <c r="C19" s="37">
        <v>77.819999999999993</v>
      </c>
      <c r="D19" s="54"/>
      <c r="E19" s="42">
        <v>18</v>
      </c>
      <c r="F19" s="33" t="s">
        <v>20</v>
      </c>
      <c r="G19" s="35">
        <v>44.53</v>
      </c>
      <c r="I19" s="33">
        <v>18</v>
      </c>
      <c r="J19" s="32" t="s">
        <v>105</v>
      </c>
      <c r="K19" s="31">
        <v>21.88</v>
      </c>
      <c r="M19" s="60" t="s">
        <v>203</v>
      </c>
      <c r="N19" s="60" t="s">
        <v>213</v>
      </c>
      <c r="O19" s="42" t="str">
        <f t="shared" ref="O19:O26" si="2">_xlfn.TEXTJOIN(,TRUE,M19,N19)</f>
        <v>BAD FORGING</v>
      </c>
    </row>
    <row r="20" spans="1:15" ht="14.25">
      <c r="A20" s="41">
        <v>19</v>
      </c>
      <c r="B20" s="39" t="s">
        <v>83</v>
      </c>
      <c r="C20" s="37">
        <v>86.46</v>
      </c>
      <c r="D20" s="54"/>
      <c r="E20" s="42">
        <v>19</v>
      </c>
      <c r="F20" s="33" t="s">
        <v>21</v>
      </c>
      <c r="G20" s="35">
        <v>48.39</v>
      </c>
      <c r="I20" s="33">
        <v>19</v>
      </c>
      <c r="J20" s="32" t="s">
        <v>44</v>
      </c>
      <c r="K20" s="31">
        <v>20.29</v>
      </c>
      <c r="M20" s="61" t="s">
        <v>214</v>
      </c>
      <c r="N20" s="60" t="s">
        <v>215</v>
      </c>
      <c r="O20" s="42" t="str">
        <f t="shared" si="2"/>
        <v>CARCKS HEAT TREATMENT</v>
      </c>
    </row>
    <row r="21" spans="1:15" ht="14.25">
      <c r="A21" s="41">
        <v>20</v>
      </c>
      <c r="B21" s="39" t="s">
        <v>164</v>
      </c>
      <c r="C21" s="37">
        <v>88.62</v>
      </c>
      <c r="D21" s="54"/>
      <c r="E21" s="42">
        <v>20</v>
      </c>
      <c r="F21" s="33" t="s">
        <v>77</v>
      </c>
      <c r="G21" s="35">
        <v>45.14</v>
      </c>
      <c r="I21" s="33">
        <v>20</v>
      </c>
      <c r="J21" s="33" t="s">
        <v>104</v>
      </c>
      <c r="K21" s="31">
        <v>12.77</v>
      </c>
      <c r="M21" s="61" t="s">
        <v>216</v>
      </c>
      <c r="N21" s="60" t="s">
        <v>217</v>
      </c>
      <c r="O21" s="42" t="str">
        <f t="shared" si="2"/>
        <v>FRGLAPS</v>
      </c>
    </row>
    <row r="22" spans="1:15" ht="14.25">
      <c r="A22" s="41">
        <v>21</v>
      </c>
      <c r="B22" s="39" t="s">
        <v>163</v>
      </c>
      <c r="C22" s="37">
        <v>9.67</v>
      </c>
      <c r="D22" s="54"/>
      <c r="E22" s="42">
        <v>21</v>
      </c>
      <c r="F22" s="33" t="s">
        <v>124</v>
      </c>
      <c r="G22" s="35">
        <v>131.66</v>
      </c>
      <c r="I22" s="33">
        <v>21</v>
      </c>
      <c r="J22" s="32" t="s">
        <v>59</v>
      </c>
      <c r="K22" s="31">
        <v>7.17</v>
      </c>
      <c r="M22" s="60" t="s">
        <v>191</v>
      </c>
      <c r="N22" s="60" t="s">
        <v>192</v>
      </c>
      <c r="O22" s="42" t="str">
        <f t="shared" si="2"/>
        <v>W/BDAM.</v>
      </c>
    </row>
    <row r="23" spans="1:15" ht="14.25">
      <c r="A23" s="41">
        <v>22</v>
      </c>
      <c r="B23" s="39" t="s">
        <v>162</v>
      </c>
      <c r="C23" s="37">
        <v>96.36</v>
      </c>
      <c r="D23" s="54"/>
      <c r="E23" s="42">
        <v>22</v>
      </c>
      <c r="F23" s="33" t="s">
        <v>123</v>
      </c>
      <c r="G23" s="35">
        <v>156.5</v>
      </c>
      <c r="I23" s="33">
        <v>22</v>
      </c>
      <c r="J23" s="32" t="s">
        <v>103</v>
      </c>
      <c r="K23" s="31">
        <v>9.35</v>
      </c>
      <c r="M23" s="60" t="s">
        <v>218</v>
      </c>
      <c r="N23" s="60" t="s">
        <v>219</v>
      </c>
      <c r="O23" s="42" t="str">
        <f t="shared" si="2"/>
        <v>BENTSCLD</v>
      </c>
    </row>
    <row r="24" spans="1:15" ht="14.25">
      <c r="A24" s="41">
        <v>23</v>
      </c>
      <c r="B24" s="39" t="s">
        <v>161</v>
      </c>
      <c r="C24" s="37">
        <v>108.27</v>
      </c>
      <c r="D24" s="54"/>
      <c r="E24" s="42">
        <v>23</v>
      </c>
      <c r="F24" s="33" t="s">
        <v>122</v>
      </c>
      <c r="G24" s="35">
        <v>181.24</v>
      </c>
      <c r="I24" s="33">
        <v>23</v>
      </c>
      <c r="J24" s="32" t="s">
        <v>50</v>
      </c>
      <c r="K24" s="31">
        <v>12.9</v>
      </c>
      <c r="M24" s="60" t="s">
        <v>220</v>
      </c>
      <c r="N24" s="60" t="s">
        <v>221</v>
      </c>
      <c r="O24" s="42" t="str">
        <f t="shared" si="2"/>
        <v>BKNTIP</v>
      </c>
    </row>
    <row r="25" spans="1:15" ht="14.25">
      <c r="A25" s="41">
        <v>24</v>
      </c>
      <c r="B25" s="39" t="s">
        <v>160</v>
      </c>
      <c r="C25" s="37">
        <v>118.37</v>
      </c>
      <c r="D25" s="54"/>
      <c r="E25" s="42">
        <v>24</v>
      </c>
      <c r="F25" s="33" t="s">
        <v>121</v>
      </c>
      <c r="G25" s="35">
        <v>259.12</v>
      </c>
      <c r="I25" s="33">
        <v>24</v>
      </c>
      <c r="J25" s="32" t="s">
        <v>60</v>
      </c>
      <c r="K25" s="31">
        <v>21.22</v>
      </c>
      <c r="M25" s="60" t="s">
        <v>222</v>
      </c>
      <c r="N25" s="60" t="s">
        <v>223</v>
      </c>
      <c r="O25" s="42" t="str">
        <f t="shared" si="2"/>
        <v>MATCRKS</v>
      </c>
    </row>
    <row r="26" spans="1:15" ht="14.25">
      <c r="A26" s="41">
        <v>25</v>
      </c>
      <c r="B26" s="39" t="s">
        <v>159</v>
      </c>
      <c r="C26" s="37">
        <v>94.98</v>
      </c>
      <c r="D26" s="54"/>
      <c r="E26" s="42">
        <v>25</v>
      </c>
      <c r="F26" s="33" t="s">
        <v>62</v>
      </c>
      <c r="G26" s="35">
        <v>35.869999999999997</v>
      </c>
      <c r="I26" s="33">
        <v>25</v>
      </c>
      <c r="J26" s="32" t="s">
        <v>66</v>
      </c>
      <c r="K26" s="31">
        <v>26.71</v>
      </c>
      <c r="N26" s="60" t="s">
        <v>224</v>
      </c>
      <c r="O26" s="42" t="str">
        <f t="shared" si="2"/>
        <v>U/FILL</v>
      </c>
    </row>
    <row r="27" spans="1:15" ht="14.25">
      <c r="A27" s="41">
        <v>26</v>
      </c>
      <c r="B27" s="39" t="s">
        <v>73</v>
      </c>
      <c r="C27" s="37">
        <v>103.25</v>
      </c>
      <c r="D27" s="54"/>
      <c r="E27" s="42">
        <v>26</v>
      </c>
      <c r="F27" s="33" t="s">
        <v>69</v>
      </c>
      <c r="G27" s="35">
        <v>31.11</v>
      </c>
      <c r="I27" s="33">
        <v>26</v>
      </c>
      <c r="J27" s="32" t="s">
        <v>26</v>
      </c>
      <c r="K27" s="31">
        <v>32.67</v>
      </c>
      <c r="O27" s="42" t="s">
        <v>244</v>
      </c>
    </row>
    <row r="28" spans="1:15" ht="14.25">
      <c r="A28" s="41">
        <v>27</v>
      </c>
      <c r="B28" s="39" t="s">
        <v>158</v>
      </c>
      <c r="C28" s="37">
        <v>0</v>
      </c>
      <c r="D28" s="54"/>
      <c r="E28" s="42">
        <v>27</v>
      </c>
      <c r="F28" s="33" t="s">
        <v>120</v>
      </c>
      <c r="G28" s="35">
        <v>209.35</v>
      </c>
      <c r="I28" s="33">
        <v>27</v>
      </c>
      <c r="J28" s="32" t="s">
        <v>102</v>
      </c>
      <c r="K28" s="31">
        <v>23.96</v>
      </c>
    </row>
    <row r="29" spans="1:15" ht="14.25">
      <c r="A29" s="41">
        <v>28</v>
      </c>
      <c r="B29" s="39" t="s">
        <v>3</v>
      </c>
      <c r="C29" s="37">
        <v>129.29</v>
      </c>
      <c r="D29" s="54"/>
      <c r="E29" s="42">
        <v>28</v>
      </c>
      <c r="F29" s="33" t="s">
        <v>119</v>
      </c>
      <c r="G29" s="35">
        <v>164.23</v>
      </c>
      <c r="I29" s="33">
        <v>28</v>
      </c>
      <c r="J29" s="32" t="s">
        <v>101</v>
      </c>
      <c r="K29" s="31">
        <v>47.44</v>
      </c>
    </row>
    <row r="30" spans="1:15" ht="14.25">
      <c r="A30" s="41">
        <v>29</v>
      </c>
      <c r="B30" s="39" t="s">
        <v>157</v>
      </c>
      <c r="C30" s="37">
        <v>79.959999999999994</v>
      </c>
      <c r="D30" s="54"/>
      <c r="E30" s="42">
        <v>29</v>
      </c>
      <c r="F30" s="33" t="s">
        <v>70</v>
      </c>
      <c r="G30" s="35">
        <v>49.43</v>
      </c>
      <c r="I30" s="33">
        <v>29</v>
      </c>
      <c r="J30" s="32" t="s">
        <v>100</v>
      </c>
      <c r="K30" s="31">
        <v>32.04</v>
      </c>
    </row>
    <row r="31" spans="1:15" ht="14.25">
      <c r="A31" s="41">
        <v>30</v>
      </c>
      <c r="B31" s="39" t="s">
        <v>156</v>
      </c>
      <c r="C31" s="37">
        <v>89.57</v>
      </c>
      <c r="D31" s="54"/>
      <c r="E31" s="42">
        <v>30</v>
      </c>
      <c r="F31" s="33" t="s">
        <v>40</v>
      </c>
      <c r="G31" s="35">
        <v>59.81</v>
      </c>
      <c r="I31" s="33">
        <v>30</v>
      </c>
      <c r="J31" s="32" t="s">
        <v>99</v>
      </c>
      <c r="K31" s="31">
        <v>74.900000000000006</v>
      </c>
    </row>
    <row r="32" spans="1:15" ht="14.25">
      <c r="A32" s="41">
        <v>31</v>
      </c>
      <c r="B32" s="39" t="s">
        <v>4</v>
      </c>
      <c r="C32" s="37">
        <v>87.06</v>
      </c>
      <c r="D32" s="54"/>
      <c r="E32" s="42">
        <v>31</v>
      </c>
      <c r="F32" s="33" t="s">
        <v>41</v>
      </c>
      <c r="G32" s="35">
        <v>52.51</v>
      </c>
      <c r="I32" s="33">
        <v>31</v>
      </c>
      <c r="J32" s="32" t="s">
        <v>45</v>
      </c>
      <c r="K32" s="31">
        <v>7.11</v>
      </c>
    </row>
    <row r="33" spans="1:11" ht="14.25">
      <c r="A33" s="41">
        <v>32</v>
      </c>
      <c r="B33" s="39" t="s">
        <v>155</v>
      </c>
      <c r="C33" s="37">
        <v>96.98</v>
      </c>
      <c r="D33" s="54"/>
      <c r="E33" s="42">
        <v>32</v>
      </c>
      <c r="F33" s="33" t="s">
        <v>22</v>
      </c>
      <c r="G33" s="35">
        <v>60.91</v>
      </c>
      <c r="I33" s="33">
        <v>32</v>
      </c>
      <c r="J33" s="32" t="s">
        <v>98</v>
      </c>
      <c r="K33" s="31">
        <v>3.21</v>
      </c>
    </row>
    <row r="34" spans="1:11" ht="14.25">
      <c r="A34" s="41">
        <v>33</v>
      </c>
      <c r="B34" s="39" t="s">
        <v>154</v>
      </c>
      <c r="C34" s="37">
        <v>55.7</v>
      </c>
      <c r="D34" s="54"/>
      <c r="E34" s="42">
        <v>33</v>
      </c>
      <c r="F34" s="33" t="s">
        <v>23</v>
      </c>
      <c r="G34" s="35">
        <v>72.41</v>
      </c>
      <c r="I34" s="33">
        <v>33</v>
      </c>
      <c r="J34" s="32" t="s">
        <v>97</v>
      </c>
      <c r="K34" s="31">
        <v>9.14</v>
      </c>
    </row>
    <row r="35" spans="1:11" ht="14.25">
      <c r="A35" s="41">
        <v>34</v>
      </c>
      <c r="B35" s="39" t="s">
        <v>153</v>
      </c>
      <c r="C35" s="37">
        <v>96.73</v>
      </c>
      <c r="D35" s="54"/>
      <c r="E35" s="42">
        <v>34</v>
      </c>
      <c r="F35" s="33" t="s">
        <v>24</v>
      </c>
      <c r="G35" s="35">
        <v>82.67</v>
      </c>
      <c r="I35" s="36">
        <v>34</v>
      </c>
      <c r="J35" s="32" t="s">
        <v>80</v>
      </c>
      <c r="K35" s="31">
        <v>13.45</v>
      </c>
    </row>
    <row r="36" spans="1:11" ht="14.25">
      <c r="A36" s="41">
        <v>35</v>
      </c>
      <c r="B36" s="39" t="s">
        <v>152</v>
      </c>
      <c r="C36" s="37">
        <v>193.31</v>
      </c>
      <c r="D36" s="54"/>
      <c r="E36" s="42">
        <v>35</v>
      </c>
      <c r="F36" s="33" t="s">
        <v>49</v>
      </c>
      <c r="G36" s="35">
        <v>83.14</v>
      </c>
      <c r="I36" s="36">
        <v>35</v>
      </c>
      <c r="J36" s="32" t="s">
        <v>27</v>
      </c>
      <c r="K36" s="31">
        <v>13.45</v>
      </c>
    </row>
    <row r="37" spans="1:11" ht="14.25">
      <c r="A37" s="41">
        <v>36</v>
      </c>
      <c r="B37" s="39" t="s">
        <v>151</v>
      </c>
      <c r="C37" s="37">
        <v>232.24</v>
      </c>
      <c r="D37" s="54"/>
      <c r="E37" s="42">
        <v>36</v>
      </c>
      <c r="F37" s="36" t="s">
        <v>63</v>
      </c>
      <c r="G37" s="35">
        <v>74.099999999999994</v>
      </c>
      <c r="I37" s="36">
        <v>36</v>
      </c>
      <c r="J37" s="32" t="s">
        <v>96</v>
      </c>
      <c r="K37" s="31">
        <v>35.9</v>
      </c>
    </row>
    <row r="38" spans="1:11">
      <c r="A38" s="41">
        <v>37</v>
      </c>
      <c r="B38" s="39" t="s">
        <v>150</v>
      </c>
      <c r="C38" s="37">
        <v>319.14999999999998</v>
      </c>
      <c r="D38" s="54"/>
      <c r="I38" s="36">
        <v>37</v>
      </c>
      <c r="J38" s="32" t="s">
        <v>90</v>
      </c>
      <c r="K38" s="31">
        <v>40.19</v>
      </c>
    </row>
    <row r="39" spans="1:11">
      <c r="A39" s="41">
        <v>38</v>
      </c>
      <c r="B39" s="39" t="s">
        <v>149</v>
      </c>
      <c r="C39" s="37">
        <v>69.73</v>
      </c>
      <c r="D39" s="54"/>
    </row>
    <row r="40" spans="1:11">
      <c r="A40" s="41">
        <v>39</v>
      </c>
      <c r="B40" s="39" t="s">
        <v>9</v>
      </c>
      <c r="C40" s="37">
        <v>96.65</v>
      </c>
      <c r="D40" s="54"/>
    </row>
    <row r="41" spans="1:11">
      <c r="A41" s="41">
        <v>40</v>
      </c>
      <c r="B41" s="39" t="s">
        <v>148</v>
      </c>
      <c r="C41" s="37">
        <v>123.34</v>
      </c>
      <c r="D41" s="54"/>
    </row>
    <row r="42" spans="1:11">
      <c r="A42" s="41">
        <v>41</v>
      </c>
      <c r="B42" s="39" t="s">
        <v>147</v>
      </c>
      <c r="C42" s="37">
        <v>135.46</v>
      </c>
      <c r="D42" s="54"/>
    </row>
    <row r="43" spans="1:11">
      <c r="A43" s="62">
        <v>42</v>
      </c>
      <c r="B43" s="38" t="s">
        <v>146</v>
      </c>
      <c r="C43" s="37">
        <v>0</v>
      </c>
      <c r="D43" s="54"/>
    </row>
    <row r="44" spans="1:11">
      <c r="A44" s="56">
        <v>43</v>
      </c>
      <c r="B44" s="39" t="s">
        <v>145</v>
      </c>
      <c r="C44" s="37">
        <v>326.13</v>
      </c>
      <c r="D44" s="54"/>
    </row>
    <row r="45" spans="1:11">
      <c r="A45" s="41">
        <v>44</v>
      </c>
      <c r="B45" s="39" t="s">
        <v>74</v>
      </c>
      <c r="C45" s="37">
        <v>417.11</v>
      </c>
      <c r="D45" s="54"/>
    </row>
    <row r="46" spans="1:11">
      <c r="A46" s="41">
        <v>45</v>
      </c>
      <c r="B46" s="39" t="s">
        <v>88</v>
      </c>
      <c r="C46" s="37">
        <v>258.29000000000002</v>
      </c>
      <c r="D46" s="54"/>
    </row>
    <row r="47" spans="1:11">
      <c r="A47" s="41">
        <v>46</v>
      </c>
      <c r="B47" s="39" t="s">
        <v>56</v>
      </c>
      <c r="C47" s="37">
        <v>296.25</v>
      </c>
      <c r="D47" s="54"/>
    </row>
    <row r="48" spans="1:11">
      <c r="A48" s="41">
        <v>47</v>
      </c>
      <c r="B48" s="39" t="s">
        <v>144</v>
      </c>
      <c r="C48" s="37">
        <v>393.8</v>
      </c>
      <c r="D48" s="54"/>
    </row>
    <row r="49" spans="1:4">
      <c r="A49" s="41">
        <v>48</v>
      </c>
      <c r="B49" s="39" t="s">
        <v>36</v>
      </c>
      <c r="C49" s="37">
        <v>162.66999999999999</v>
      </c>
      <c r="D49" s="54"/>
    </row>
    <row r="50" spans="1:4">
      <c r="A50" s="41">
        <v>49</v>
      </c>
      <c r="B50" s="41" t="s">
        <v>57</v>
      </c>
      <c r="C50" s="37">
        <v>399.35</v>
      </c>
      <c r="D50" s="54"/>
    </row>
    <row r="51" spans="1:4">
      <c r="A51" s="41">
        <v>50</v>
      </c>
      <c r="B51" s="39" t="s">
        <v>81</v>
      </c>
      <c r="C51" s="37">
        <v>456.88</v>
      </c>
      <c r="D51" s="54"/>
    </row>
    <row r="52" spans="1:4">
      <c r="A52" s="41">
        <v>51</v>
      </c>
      <c r="B52" s="39" t="s">
        <v>143</v>
      </c>
      <c r="C52" s="37">
        <v>576.88</v>
      </c>
      <c r="D52" s="54"/>
    </row>
    <row r="53" spans="1:4">
      <c r="A53" s="41">
        <v>52</v>
      </c>
      <c r="B53" s="39" t="s">
        <v>142</v>
      </c>
      <c r="C53" s="37">
        <v>1164.74</v>
      </c>
      <c r="D53" s="54"/>
    </row>
    <row r="54" spans="1:4">
      <c r="A54" s="41">
        <v>53</v>
      </c>
      <c r="B54" s="39" t="s">
        <v>141</v>
      </c>
      <c r="C54" s="37">
        <v>2003.12</v>
      </c>
      <c r="D54" s="54"/>
    </row>
    <row r="55" spans="1:4">
      <c r="A55" s="62">
        <v>54</v>
      </c>
      <c r="B55" s="39" t="s">
        <v>140</v>
      </c>
      <c r="C55" s="37">
        <v>145.31</v>
      </c>
      <c r="D55" s="54"/>
    </row>
    <row r="56" spans="1:4">
      <c r="A56" s="63">
        <v>55</v>
      </c>
      <c r="B56" s="39" t="s">
        <v>139</v>
      </c>
      <c r="C56" s="37">
        <v>185.72</v>
      </c>
      <c r="D56" s="54"/>
    </row>
    <row r="57" spans="1:4">
      <c r="A57" s="63">
        <v>56</v>
      </c>
      <c r="B57" s="39" t="s">
        <v>138</v>
      </c>
      <c r="C57" s="37">
        <v>104.29</v>
      </c>
      <c r="D57" s="54"/>
    </row>
    <row r="58" spans="1:4">
      <c r="A58" s="41">
        <v>57</v>
      </c>
      <c r="B58" s="39" t="s">
        <v>137</v>
      </c>
      <c r="C58" s="37">
        <v>175.82</v>
      </c>
      <c r="D58" s="54"/>
    </row>
    <row r="59" spans="1:4">
      <c r="A59" s="41">
        <v>58</v>
      </c>
      <c r="B59" s="39" t="s">
        <v>136</v>
      </c>
      <c r="C59" s="37">
        <v>72.650000000000006</v>
      </c>
      <c r="D59" s="54"/>
    </row>
    <row r="60" spans="1:4">
      <c r="A60" s="41">
        <v>59</v>
      </c>
      <c r="B60" s="40" t="s">
        <v>76</v>
      </c>
      <c r="C60" s="37">
        <v>88.66</v>
      </c>
      <c r="D60" s="54"/>
    </row>
    <row r="61" spans="1:4">
      <c r="A61" s="64">
        <v>60</v>
      </c>
      <c r="B61" s="39" t="s">
        <v>135</v>
      </c>
      <c r="C61" s="37">
        <v>31.75</v>
      </c>
      <c r="D61" s="54"/>
    </row>
    <row r="62" spans="1:4">
      <c r="A62" s="65">
        <v>61</v>
      </c>
      <c r="B62" s="38" t="s">
        <v>134</v>
      </c>
      <c r="C62" s="37">
        <v>107.05</v>
      </c>
      <c r="D62" s="54"/>
    </row>
    <row r="63" spans="1:4">
      <c r="A63" s="66">
        <v>62</v>
      </c>
      <c r="B63" s="45" t="s">
        <v>247</v>
      </c>
      <c r="C63" s="67">
        <v>30.61</v>
      </c>
      <c r="D63" s="54"/>
    </row>
    <row r="64" spans="1:4" ht="13.5" thickBot="1">
      <c r="A64" s="68">
        <v>63</v>
      </c>
      <c r="B64" s="69" t="s">
        <v>133</v>
      </c>
      <c r="C64" s="70">
        <v>112.06</v>
      </c>
      <c r="D64" s="54"/>
    </row>
    <row r="65" ht="13.5" thickTop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D64C-5ABE-429A-A310-ECB460933B6C}">
  <dimension ref="A1:J318"/>
  <sheetViews>
    <sheetView tabSelected="1" zoomScaleNormal="100" workbookViewId="0">
      <pane ySplit="1" topLeftCell="A2" activePane="bottomLeft" state="frozen"/>
      <selection pane="bottomLeft" activeCell="E20" sqref="E20"/>
    </sheetView>
  </sheetViews>
  <sheetFormatPr defaultRowHeight="15"/>
  <cols>
    <col min="1" max="1" width="10.7109375" style="3" bestFit="1" customWidth="1"/>
    <col min="2" max="2" width="11.5703125" style="3" bestFit="1" customWidth="1"/>
    <col min="3" max="3" width="9.5703125" style="3" bestFit="1" customWidth="1"/>
    <col min="4" max="4" width="14.42578125" style="3" bestFit="1" customWidth="1"/>
    <col min="5" max="5" width="51.28515625" style="112" bestFit="1" customWidth="1"/>
    <col min="6" max="6" width="13" style="29" hidden="1" customWidth="1"/>
    <col min="7" max="7" width="8.7109375" style="29" bestFit="1" customWidth="1"/>
    <col min="8" max="8" width="13.7109375" style="3" customWidth="1"/>
    <col min="9" max="9" width="14.28515625" style="3" customWidth="1"/>
    <col min="10" max="10" width="28.140625" style="3" customWidth="1"/>
  </cols>
  <sheetData>
    <row r="1" spans="1:10">
      <c r="A1" s="8" t="s">
        <v>272</v>
      </c>
      <c r="B1" s="8" t="s">
        <v>5</v>
      </c>
      <c r="C1" s="8" t="s">
        <v>177</v>
      </c>
      <c r="D1" s="8" t="s">
        <v>6</v>
      </c>
      <c r="E1" s="8" t="s">
        <v>0</v>
      </c>
      <c r="F1" s="21" t="s">
        <v>281</v>
      </c>
      <c r="G1" s="21" t="s">
        <v>2</v>
      </c>
      <c r="H1" s="8" t="s">
        <v>94</v>
      </c>
      <c r="I1" s="8" t="s">
        <v>95</v>
      </c>
      <c r="J1" s="8" t="s">
        <v>1</v>
      </c>
    </row>
    <row r="2" spans="1:10">
      <c r="A2" s="100">
        <v>45474</v>
      </c>
      <c r="B2" s="100" t="s">
        <v>262</v>
      </c>
      <c r="C2" s="3">
        <v>2024</v>
      </c>
      <c r="D2" s="3" t="s">
        <v>7</v>
      </c>
      <c r="E2" s="109" t="s">
        <v>71</v>
      </c>
      <c r="F2" s="101"/>
      <c r="G2" s="29">
        <v>4</v>
      </c>
      <c r="H2" s="4">
        <f>VLOOKUP(E2,TABLE!$B$1:$C$137,2,FALSE)</f>
        <v>72.31</v>
      </c>
      <c r="I2" s="4">
        <f t="shared" ref="I2:I33" si="0">G2*H2</f>
        <v>289.24</v>
      </c>
      <c r="J2" s="3" t="s">
        <v>32</v>
      </c>
    </row>
    <row r="3" spans="1:10">
      <c r="A3" s="100">
        <v>45474</v>
      </c>
      <c r="B3" s="100" t="s">
        <v>262</v>
      </c>
      <c r="C3" s="3">
        <v>2024</v>
      </c>
      <c r="D3" s="3" t="s">
        <v>7</v>
      </c>
      <c r="E3" s="45" t="s">
        <v>9</v>
      </c>
      <c r="F3" s="102"/>
      <c r="G3" s="29">
        <v>13</v>
      </c>
      <c r="H3" s="4">
        <f>VLOOKUP(E3,TABLE!$B$1:$C$137,2,FALSE)</f>
        <v>114.33</v>
      </c>
      <c r="I3" s="4">
        <f t="shared" si="0"/>
        <v>1486.29</v>
      </c>
      <c r="J3" s="3" t="s">
        <v>13</v>
      </c>
    </row>
    <row r="4" spans="1:10">
      <c r="A4" s="100">
        <v>45474</v>
      </c>
      <c r="B4" s="100" t="s">
        <v>262</v>
      </c>
      <c r="C4" s="3">
        <v>2024</v>
      </c>
      <c r="D4" s="3" t="s">
        <v>7</v>
      </c>
      <c r="E4" s="45" t="s">
        <v>81</v>
      </c>
      <c r="F4" s="102"/>
      <c r="G4" s="29">
        <v>5</v>
      </c>
      <c r="H4" s="4">
        <f>VLOOKUP(E4,TABLE!$B$1:$C$137,2,FALSE)</f>
        <v>358.99</v>
      </c>
      <c r="I4" s="4">
        <f t="shared" si="0"/>
        <v>1794.95</v>
      </c>
      <c r="J4" s="3" t="s">
        <v>179</v>
      </c>
    </row>
    <row r="5" spans="1:10">
      <c r="A5" s="100">
        <v>45474</v>
      </c>
      <c r="B5" s="100" t="s">
        <v>262</v>
      </c>
      <c r="C5" s="3">
        <v>2024</v>
      </c>
      <c r="D5" s="3" t="s">
        <v>7</v>
      </c>
      <c r="E5" s="45" t="s">
        <v>31</v>
      </c>
      <c r="F5" s="102"/>
      <c r="G5" s="29">
        <v>2</v>
      </c>
      <c r="H5" s="4">
        <f>VLOOKUP(E5,TABLE!$B$1:$C$137,2,FALSE)</f>
        <v>85.75</v>
      </c>
      <c r="I5" s="4">
        <f t="shared" si="0"/>
        <v>171.5</v>
      </c>
      <c r="J5" s="3" t="s">
        <v>32</v>
      </c>
    </row>
    <row r="6" spans="1:10">
      <c r="A6" s="100">
        <v>45474</v>
      </c>
      <c r="B6" s="100" t="s">
        <v>262</v>
      </c>
      <c r="C6" s="3">
        <v>2024</v>
      </c>
      <c r="D6" s="3" t="s">
        <v>7</v>
      </c>
      <c r="E6" s="45" t="s">
        <v>92</v>
      </c>
      <c r="F6" s="102"/>
      <c r="G6" s="29">
        <v>6</v>
      </c>
      <c r="H6" s="4">
        <f>VLOOKUP(E6,TABLE!$B$1:$C$137,2,FALSE)</f>
        <v>77.69</v>
      </c>
      <c r="I6" s="4">
        <f t="shared" si="0"/>
        <v>466.14</v>
      </c>
      <c r="J6" s="3" t="s">
        <v>10</v>
      </c>
    </row>
    <row r="7" spans="1:10">
      <c r="A7" s="100">
        <v>45474</v>
      </c>
      <c r="B7" s="100" t="s">
        <v>262</v>
      </c>
      <c r="C7" s="3">
        <v>2024</v>
      </c>
      <c r="D7" s="3" t="s">
        <v>7</v>
      </c>
      <c r="E7" s="45" t="s">
        <v>73</v>
      </c>
      <c r="F7" s="102"/>
      <c r="G7" s="29">
        <v>3</v>
      </c>
      <c r="H7" s="4">
        <f>VLOOKUP(E7,TABLE!$B$1:$C$137,2,FALSE)</f>
        <v>97.22</v>
      </c>
      <c r="I7" s="4">
        <f t="shared" si="0"/>
        <v>291.65999999999997</v>
      </c>
      <c r="J7" s="3" t="s">
        <v>10</v>
      </c>
    </row>
    <row r="8" spans="1:10">
      <c r="A8" s="100">
        <v>45474</v>
      </c>
      <c r="B8" s="100" t="s">
        <v>262</v>
      </c>
      <c r="C8" s="3">
        <v>2024</v>
      </c>
      <c r="D8" s="3" t="s">
        <v>7</v>
      </c>
      <c r="E8" s="45" t="s">
        <v>3</v>
      </c>
      <c r="F8" s="102"/>
      <c r="G8" s="29">
        <v>10</v>
      </c>
      <c r="H8" s="4">
        <f>VLOOKUP(E8,TABLE!$B$1:$C$137,2,FALSE)</f>
        <v>85</v>
      </c>
      <c r="I8" s="4">
        <f t="shared" si="0"/>
        <v>850</v>
      </c>
      <c r="J8" s="3" t="s">
        <v>10</v>
      </c>
    </row>
    <row r="9" spans="1:10">
      <c r="A9" s="100">
        <v>45474</v>
      </c>
      <c r="B9" s="100" t="s">
        <v>262</v>
      </c>
      <c r="C9" s="3">
        <v>2024</v>
      </c>
      <c r="D9" s="3" t="s">
        <v>12</v>
      </c>
      <c r="E9" s="110" t="s">
        <v>11</v>
      </c>
      <c r="F9" s="103"/>
      <c r="G9" s="29">
        <v>3</v>
      </c>
      <c r="H9" s="4">
        <f>VLOOKUP(E9,TABLE!$B$1:$C$137,2,FALSE)</f>
        <v>32.32</v>
      </c>
      <c r="I9" s="4">
        <f t="shared" si="0"/>
        <v>96.960000000000008</v>
      </c>
      <c r="J9" s="3" t="s">
        <v>15</v>
      </c>
    </row>
    <row r="10" spans="1:10">
      <c r="A10" s="100">
        <v>45474</v>
      </c>
      <c r="B10" s="100" t="s">
        <v>262</v>
      </c>
      <c r="C10" s="3">
        <v>2024</v>
      </c>
      <c r="D10" s="3" t="s">
        <v>12</v>
      </c>
      <c r="E10" s="110" t="s">
        <v>37</v>
      </c>
      <c r="F10" s="103"/>
      <c r="G10" s="29">
        <v>3</v>
      </c>
      <c r="H10" s="4">
        <f>VLOOKUP(E10,TABLE!$B$1:$C$137,2,FALSE)</f>
        <v>16.079999999999998</v>
      </c>
      <c r="I10" s="4">
        <f t="shared" si="0"/>
        <v>48.239999999999995</v>
      </c>
      <c r="J10" s="3" t="s">
        <v>15</v>
      </c>
    </row>
    <row r="11" spans="1:10">
      <c r="A11" s="100">
        <v>45474</v>
      </c>
      <c r="B11" s="100" t="s">
        <v>262</v>
      </c>
      <c r="C11" s="3">
        <v>2024</v>
      </c>
      <c r="D11" s="3" t="s">
        <v>12</v>
      </c>
      <c r="E11" s="110" t="s">
        <v>19</v>
      </c>
      <c r="F11" s="103"/>
      <c r="G11" s="29">
        <v>2</v>
      </c>
      <c r="H11" s="4">
        <f>VLOOKUP(E11,TABLE!$B$1:$C$137,2,FALSE)</f>
        <v>23.91</v>
      </c>
      <c r="I11" s="4">
        <f t="shared" si="0"/>
        <v>47.82</v>
      </c>
      <c r="J11" s="3" t="s">
        <v>15</v>
      </c>
    </row>
    <row r="12" spans="1:10">
      <c r="A12" s="100">
        <v>45474</v>
      </c>
      <c r="B12" s="100" t="s">
        <v>262</v>
      </c>
      <c r="C12" s="3">
        <v>2024</v>
      </c>
      <c r="D12" s="3" t="s">
        <v>12</v>
      </c>
      <c r="E12" s="110" t="s">
        <v>38</v>
      </c>
      <c r="F12" s="103"/>
      <c r="G12" s="29">
        <v>2</v>
      </c>
      <c r="H12" s="4">
        <f>VLOOKUP(E12,TABLE!$B$1:$C$137,2,FALSE)</f>
        <v>27.14</v>
      </c>
      <c r="I12" s="4">
        <f t="shared" si="0"/>
        <v>54.28</v>
      </c>
      <c r="J12" s="3" t="s">
        <v>15</v>
      </c>
    </row>
    <row r="13" spans="1:10">
      <c r="A13" s="100">
        <v>45474</v>
      </c>
      <c r="B13" s="100" t="s">
        <v>262</v>
      </c>
      <c r="C13" s="3">
        <v>2024</v>
      </c>
      <c r="D13" s="3" t="s">
        <v>12</v>
      </c>
      <c r="E13" s="110" t="s">
        <v>39</v>
      </c>
      <c r="F13" s="103"/>
      <c r="G13" s="29">
        <v>7</v>
      </c>
      <c r="H13" s="4">
        <f>VLOOKUP(E13,TABLE!$B$1:$C$137,2,FALSE)</f>
        <v>34.83</v>
      </c>
      <c r="I13" s="4">
        <f t="shared" si="0"/>
        <v>243.81</v>
      </c>
      <c r="J13" s="3" t="s">
        <v>15</v>
      </c>
    </row>
    <row r="14" spans="1:10">
      <c r="A14" s="100">
        <v>45474</v>
      </c>
      <c r="B14" s="100" t="s">
        <v>262</v>
      </c>
      <c r="C14" s="3">
        <v>2024</v>
      </c>
      <c r="D14" s="3" t="s">
        <v>12</v>
      </c>
      <c r="E14" s="110" t="s">
        <v>20</v>
      </c>
      <c r="F14" s="103"/>
      <c r="G14" s="29">
        <v>4</v>
      </c>
      <c r="H14" s="4">
        <f>VLOOKUP(E14,TABLE!$B$1:$C$137,2,FALSE)</f>
        <v>38.270000000000003</v>
      </c>
      <c r="I14" s="4">
        <f t="shared" si="0"/>
        <v>153.08000000000001</v>
      </c>
      <c r="J14" s="3" t="s">
        <v>15</v>
      </c>
    </row>
    <row r="15" spans="1:10">
      <c r="A15" s="100">
        <v>45474</v>
      </c>
      <c r="B15" s="100" t="s">
        <v>262</v>
      </c>
      <c r="C15" s="3">
        <v>2024</v>
      </c>
      <c r="D15" s="3" t="s">
        <v>12</v>
      </c>
      <c r="E15" s="110" t="s">
        <v>23</v>
      </c>
      <c r="F15" s="103"/>
      <c r="G15" s="29">
        <v>2</v>
      </c>
      <c r="H15" s="4">
        <f>VLOOKUP(E15,TABLE!$B$1:$C$137,2,FALSE)</f>
        <v>64.459999999999994</v>
      </c>
      <c r="I15" s="4">
        <f t="shared" si="0"/>
        <v>128.91999999999999</v>
      </c>
      <c r="J15" s="3" t="s">
        <v>15</v>
      </c>
    </row>
    <row r="16" spans="1:10">
      <c r="A16" s="100">
        <v>45474</v>
      </c>
      <c r="B16" s="100" t="s">
        <v>262</v>
      </c>
      <c r="C16" s="3">
        <v>2024</v>
      </c>
      <c r="D16" s="3" t="s">
        <v>12</v>
      </c>
      <c r="E16" s="110" t="s">
        <v>14</v>
      </c>
      <c r="F16" s="103"/>
      <c r="G16" s="29">
        <v>10</v>
      </c>
      <c r="H16" s="4">
        <f>VLOOKUP(E16,TABLE!$B$1:$C$137,2,FALSE)</f>
        <v>49.25</v>
      </c>
      <c r="I16" s="4">
        <f t="shared" si="0"/>
        <v>492.5</v>
      </c>
      <c r="J16" s="3" t="s">
        <v>13</v>
      </c>
    </row>
    <row r="17" spans="1:10">
      <c r="A17" s="100">
        <v>45474</v>
      </c>
      <c r="B17" s="100" t="s">
        <v>262</v>
      </c>
      <c r="C17" s="3">
        <v>2024</v>
      </c>
      <c r="D17" s="3" t="s">
        <v>12</v>
      </c>
      <c r="E17" s="110" t="s">
        <v>122</v>
      </c>
      <c r="F17" s="103"/>
      <c r="G17" s="29">
        <v>3</v>
      </c>
      <c r="H17" s="4">
        <f>VLOOKUP(E17,TABLE!$B$1:$C$137,2,FALSE)</f>
        <v>188.56</v>
      </c>
      <c r="I17" s="4">
        <f t="shared" si="0"/>
        <v>565.68000000000006</v>
      </c>
      <c r="J17" s="3" t="s">
        <v>13</v>
      </c>
    </row>
    <row r="18" spans="1:10">
      <c r="A18" s="100">
        <v>45474</v>
      </c>
      <c r="B18" s="100" t="s">
        <v>262</v>
      </c>
      <c r="C18" s="3">
        <v>2024</v>
      </c>
      <c r="D18" s="3" t="s">
        <v>12</v>
      </c>
      <c r="E18" s="110" t="s">
        <v>19</v>
      </c>
      <c r="F18" s="103"/>
      <c r="G18" s="29">
        <v>3</v>
      </c>
      <c r="H18" s="4">
        <f>VLOOKUP(E18,TABLE!$B$1:$C$137,2,FALSE)</f>
        <v>23.91</v>
      </c>
      <c r="I18" s="4">
        <f t="shared" si="0"/>
        <v>71.73</v>
      </c>
      <c r="J18" s="3" t="s">
        <v>93</v>
      </c>
    </row>
    <row r="19" spans="1:10">
      <c r="A19" s="100">
        <v>45474</v>
      </c>
      <c r="B19" s="100" t="s">
        <v>262</v>
      </c>
      <c r="C19" s="3">
        <v>2024</v>
      </c>
      <c r="D19" s="3" t="s">
        <v>12</v>
      </c>
      <c r="E19" s="110" t="s">
        <v>21</v>
      </c>
      <c r="F19" s="103"/>
      <c r="G19" s="29">
        <v>4</v>
      </c>
      <c r="H19" s="4">
        <f>VLOOKUP(E19,TABLE!$B$1:$C$137,2,FALSE)</f>
        <v>44.78</v>
      </c>
      <c r="I19" s="4">
        <f t="shared" si="0"/>
        <v>179.12</v>
      </c>
      <c r="J19" s="3" t="s">
        <v>93</v>
      </c>
    </row>
    <row r="20" spans="1:10">
      <c r="A20" s="100">
        <v>45474</v>
      </c>
      <c r="B20" s="100" t="s">
        <v>262</v>
      </c>
      <c r="C20" s="3">
        <v>2024</v>
      </c>
      <c r="D20" s="3" t="s">
        <v>28</v>
      </c>
      <c r="E20" s="73" t="s">
        <v>58</v>
      </c>
      <c r="F20" s="104"/>
      <c r="G20" s="29">
        <v>19</v>
      </c>
      <c r="H20" s="4">
        <f>VLOOKUP(E20,TABLE!$B$1:$C$137,2,FALSE)</f>
        <v>13.99</v>
      </c>
      <c r="I20" s="4">
        <f t="shared" si="0"/>
        <v>265.81</v>
      </c>
      <c r="J20" s="3" t="s">
        <v>179</v>
      </c>
    </row>
    <row r="21" spans="1:10">
      <c r="A21" s="100">
        <v>45474</v>
      </c>
      <c r="B21" s="100" t="s">
        <v>262</v>
      </c>
      <c r="C21" s="3">
        <v>2024</v>
      </c>
      <c r="D21" s="3" t="s">
        <v>28</v>
      </c>
      <c r="E21" s="110" t="s">
        <v>27</v>
      </c>
      <c r="F21" s="103"/>
      <c r="G21" s="29">
        <v>21</v>
      </c>
      <c r="H21" s="4">
        <f>VLOOKUP(E21,TABLE!$B$1:$C$137,2,FALSE)</f>
        <v>11.59</v>
      </c>
      <c r="I21" s="4">
        <f t="shared" si="0"/>
        <v>243.39</v>
      </c>
      <c r="J21" s="3" t="s">
        <v>29</v>
      </c>
    </row>
    <row r="22" spans="1:10">
      <c r="A22" s="100">
        <v>45474</v>
      </c>
      <c r="B22" s="100" t="s">
        <v>262</v>
      </c>
      <c r="C22" s="3">
        <v>2024</v>
      </c>
      <c r="D22" s="3" t="s">
        <v>28</v>
      </c>
      <c r="E22" s="73" t="s">
        <v>114</v>
      </c>
      <c r="F22" s="101"/>
      <c r="G22" s="29">
        <v>10</v>
      </c>
      <c r="H22" s="4">
        <f>VLOOKUP(E22,TABLE!$B$1:$C$137,2,FALSE)</f>
        <v>20.72</v>
      </c>
      <c r="I22" s="4">
        <f t="shared" si="0"/>
        <v>207.2</v>
      </c>
      <c r="J22" s="3" t="s">
        <v>246</v>
      </c>
    </row>
    <row r="23" spans="1:10">
      <c r="A23" s="100">
        <v>45474</v>
      </c>
      <c r="B23" s="100" t="s">
        <v>262</v>
      </c>
      <c r="C23" s="3">
        <v>2024</v>
      </c>
      <c r="D23" s="3" t="s">
        <v>28</v>
      </c>
      <c r="E23" s="73" t="s">
        <v>111</v>
      </c>
      <c r="F23" s="101"/>
      <c r="G23" s="29">
        <v>2</v>
      </c>
      <c r="H23" s="4">
        <f>VLOOKUP(E23,TABLE!$B$1:$C$137,2,FALSE)</f>
        <v>23.07</v>
      </c>
      <c r="I23" s="4">
        <f t="shared" si="0"/>
        <v>46.14</v>
      </c>
      <c r="J23" s="3" t="s">
        <v>246</v>
      </c>
    </row>
    <row r="24" spans="1:10">
      <c r="A24" s="100">
        <v>45474</v>
      </c>
      <c r="B24" s="100" t="s">
        <v>262</v>
      </c>
      <c r="C24" s="3">
        <v>2024</v>
      </c>
      <c r="D24" s="3" t="s">
        <v>28</v>
      </c>
      <c r="E24" s="73" t="s">
        <v>60</v>
      </c>
      <c r="F24" s="73"/>
      <c r="G24" s="86">
        <v>5</v>
      </c>
      <c r="H24" s="4">
        <f>VLOOKUP(E24,TABLE!$B$1:$C$137,2,FALSE)</f>
        <v>21.61</v>
      </c>
      <c r="I24" s="4">
        <f t="shared" si="0"/>
        <v>108.05</v>
      </c>
      <c r="J24" s="3" t="s">
        <v>179</v>
      </c>
    </row>
    <row r="25" spans="1:10">
      <c r="A25" s="100">
        <v>45474</v>
      </c>
      <c r="B25" s="100" t="s">
        <v>262</v>
      </c>
      <c r="C25" s="3">
        <v>2024</v>
      </c>
      <c r="D25" s="3" t="s">
        <v>28</v>
      </c>
      <c r="E25" s="73" t="s">
        <v>66</v>
      </c>
      <c r="F25" s="73"/>
      <c r="G25" s="86">
        <v>1</v>
      </c>
      <c r="H25" s="4">
        <f>VLOOKUP(E25,TABLE!$B$1:$C$137,2,FALSE)</f>
        <v>22.61</v>
      </c>
      <c r="I25" s="4">
        <f t="shared" si="0"/>
        <v>22.61</v>
      </c>
      <c r="J25" s="3" t="s">
        <v>179</v>
      </c>
    </row>
    <row r="26" spans="1:10">
      <c r="A26" s="100">
        <v>45474</v>
      </c>
      <c r="B26" s="100" t="s">
        <v>262</v>
      </c>
      <c r="C26" s="3">
        <v>2024</v>
      </c>
      <c r="D26" s="3" t="s">
        <v>28</v>
      </c>
      <c r="E26" s="73" t="s">
        <v>102</v>
      </c>
      <c r="F26" s="73"/>
      <c r="G26" s="86">
        <v>1</v>
      </c>
      <c r="H26" s="4">
        <f>VLOOKUP(E26,TABLE!$B$1:$C$137,2,FALSE)</f>
        <v>19.97</v>
      </c>
      <c r="I26" s="4">
        <f t="shared" si="0"/>
        <v>19.97</v>
      </c>
      <c r="J26" s="3" t="s">
        <v>179</v>
      </c>
    </row>
    <row r="27" spans="1:10">
      <c r="A27" s="100">
        <v>45474</v>
      </c>
      <c r="B27" s="100" t="s">
        <v>262</v>
      </c>
      <c r="C27" s="3">
        <v>2024</v>
      </c>
      <c r="D27" s="3" t="s">
        <v>7</v>
      </c>
      <c r="E27" s="45" t="s">
        <v>71</v>
      </c>
      <c r="F27" s="45"/>
      <c r="G27" s="87">
        <v>2</v>
      </c>
      <c r="H27" s="4">
        <f>VLOOKUP(E27,TABLE!$B$1:$C$137,2,FALSE)</f>
        <v>72.31</v>
      </c>
      <c r="I27" s="4">
        <f t="shared" si="0"/>
        <v>144.62</v>
      </c>
      <c r="J27" s="3" t="s">
        <v>242</v>
      </c>
    </row>
    <row r="28" spans="1:10">
      <c r="A28" s="100">
        <v>45474</v>
      </c>
      <c r="B28" s="100" t="s">
        <v>262</v>
      </c>
      <c r="C28" s="3">
        <v>2024</v>
      </c>
      <c r="D28" s="3" t="s">
        <v>7</v>
      </c>
      <c r="E28" s="45" t="s">
        <v>9</v>
      </c>
      <c r="F28" s="45"/>
      <c r="G28" s="87">
        <v>1</v>
      </c>
      <c r="H28" s="4">
        <f>VLOOKUP(E28,TABLE!$B$1:$C$137,2,FALSE)</f>
        <v>114.33</v>
      </c>
      <c r="I28" s="4">
        <f t="shared" si="0"/>
        <v>114.33</v>
      </c>
      <c r="J28" s="3" t="s">
        <v>242</v>
      </c>
    </row>
    <row r="29" spans="1:10">
      <c r="A29" s="100">
        <v>45474</v>
      </c>
      <c r="B29" s="100" t="s">
        <v>262</v>
      </c>
      <c r="C29" s="3">
        <v>2024</v>
      </c>
      <c r="D29" s="3" t="s">
        <v>7</v>
      </c>
      <c r="E29" s="45" t="s">
        <v>3</v>
      </c>
      <c r="F29" s="45"/>
      <c r="G29" s="87">
        <v>2</v>
      </c>
      <c r="H29" s="4">
        <f>VLOOKUP(E29,TABLE!$B$1:$C$137,2,FALSE)</f>
        <v>85</v>
      </c>
      <c r="I29" s="4">
        <f t="shared" si="0"/>
        <v>170</v>
      </c>
      <c r="J29" s="3" t="s">
        <v>242</v>
      </c>
    </row>
    <row r="30" spans="1:10">
      <c r="A30" s="100">
        <v>45505</v>
      </c>
      <c r="B30" s="100" t="s">
        <v>263</v>
      </c>
      <c r="C30" s="3">
        <v>2024</v>
      </c>
      <c r="D30" s="3" t="s">
        <v>7</v>
      </c>
      <c r="E30" s="74" t="s">
        <v>228</v>
      </c>
      <c r="F30" s="74"/>
      <c r="G30" s="87">
        <v>1</v>
      </c>
      <c r="H30" s="4">
        <f>VLOOKUP(E30,TABLE!$B$1:$C$137,2,FALSE)</f>
        <v>76.89</v>
      </c>
      <c r="I30" s="4">
        <f t="shared" si="0"/>
        <v>76.89</v>
      </c>
      <c r="J30" s="3" t="s">
        <v>13</v>
      </c>
    </row>
    <row r="31" spans="1:10">
      <c r="A31" s="100">
        <v>45505</v>
      </c>
      <c r="B31" s="100" t="s">
        <v>263</v>
      </c>
      <c r="C31" s="3">
        <v>2024</v>
      </c>
      <c r="D31" s="3" t="s">
        <v>7</v>
      </c>
      <c r="E31" s="45" t="s">
        <v>71</v>
      </c>
      <c r="F31" s="45"/>
      <c r="G31" s="87">
        <v>6</v>
      </c>
      <c r="H31" s="4">
        <f>VLOOKUP(E31,TABLE!$B$1:$C$137,2,FALSE)</f>
        <v>72.31</v>
      </c>
      <c r="I31" s="4">
        <f t="shared" si="0"/>
        <v>433.86</v>
      </c>
      <c r="J31" s="3" t="s">
        <v>13</v>
      </c>
    </row>
    <row r="32" spans="1:10">
      <c r="A32" s="100">
        <v>45505</v>
      </c>
      <c r="B32" s="100" t="s">
        <v>263</v>
      </c>
      <c r="C32" s="3">
        <v>2024</v>
      </c>
      <c r="D32" s="3" t="s">
        <v>7</v>
      </c>
      <c r="E32" s="45" t="s">
        <v>9</v>
      </c>
      <c r="F32" s="45"/>
      <c r="G32" s="87">
        <v>20</v>
      </c>
      <c r="H32" s="4">
        <f>VLOOKUP(E32,TABLE!$B$1:$C$137,2,FALSE)</f>
        <v>114.33</v>
      </c>
      <c r="I32" s="4">
        <f t="shared" si="0"/>
        <v>2286.6</v>
      </c>
      <c r="J32" s="3" t="s">
        <v>13</v>
      </c>
    </row>
    <row r="33" spans="1:10">
      <c r="A33" s="100">
        <v>45505</v>
      </c>
      <c r="B33" s="100" t="s">
        <v>263</v>
      </c>
      <c r="C33" s="3">
        <v>2024</v>
      </c>
      <c r="D33" s="3" t="s">
        <v>7</v>
      </c>
      <c r="E33" s="45" t="s">
        <v>233</v>
      </c>
      <c r="F33" s="45"/>
      <c r="G33" s="87">
        <v>2</v>
      </c>
      <c r="H33" s="4">
        <f>VLOOKUP(E33,TABLE!$B$1:$C$137,2,FALSE)</f>
        <v>89.05</v>
      </c>
      <c r="I33" s="4">
        <f t="shared" si="0"/>
        <v>178.1</v>
      </c>
      <c r="J33" s="3" t="s">
        <v>13</v>
      </c>
    </row>
    <row r="34" spans="1:10">
      <c r="A34" s="100">
        <v>45505</v>
      </c>
      <c r="B34" s="100" t="s">
        <v>263</v>
      </c>
      <c r="C34" s="3">
        <v>2024</v>
      </c>
      <c r="D34" s="3" t="s">
        <v>7</v>
      </c>
      <c r="E34" s="45" t="s">
        <v>31</v>
      </c>
      <c r="F34" s="45"/>
      <c r="G34" s="87">
        <v>13</v>
      </c>
      <c r="H34" s="4">
        <f>VLOOKUP(E34,TABLE!$B$1:$C$137,2,FALSE)</f>
        <v>85.75</v>
      </c>
      <c r="I34" s="4">
        <f t="shared" ref="I34:I58" si="1">G34*H34</f>
        <v>1114.75</v>
      </c>
      <c r="J34" s="3" t="s">
        <v>13</v>
      </c>
    </row>
    <row r="35" spans="1:10">
      <c r="A35" s="100">
        <v>45505</v>
      </c>
      <c r="B35" s="100" t="s">
        <v>263</v>
      </c>
      <c r="C35" s="3">
        <v>2024</v>
      </c>
      <c r="D35" s="3" t="s">
        <v>7</v>
      </c>
      <c r="E35" s="45" t="s">
        <v>71</v>
      </c>
      <c r="F35" s="45"/>
      <c r="G35" s="87">
        <v>2</v>
      </c>
      <c r="H35" s="4">
        <f>VLOOKUP(E35,TABLE!$B$1:$C$137,2,FALSE)</f>
        <v>72.31</v>
      </c>
      <c r="I35" s="4">
        <f t="shared" si="1"/>
        <v>144.62</v>
      </c>
      <c r="J35" s="3" t="s">
        <v>32</v>
      </c>
    </row>
    <row r="36" spans="1:10">
      <c r="A36" s="100">
        <v>45505</v>
      </c>
      <c r="B36" s="100" t="s">
        <v>263</v>
      </c>
      <c r="C36" s="3">
        <v>2024</v>
      </c>
      <c r="D36" s="3" t="s">
        <v>7</v>
      </c>
      <c r="E36" s="45" t="s">
        <v>30</v>
      </c>
      <c r="F36" s="45"/>
      <c r="G36" s="87">
        <v>2</v>
      </c>
      <c r="H36" s="4">
        <f>VLOOKUP(E36,TABLE!$B$1:$C$137,2,FALSE)</f>
        <v>79.94</v>
      </c>
      <c r="I36" s="4">
        <f t="shared" si="1"/>
        <v>159.88</v>
      </c>
      <c r="J36" s="3" t="s">
        <v>32</v>
      </c>
    </row>
    <row r="37" spans="1:10">
      <c r="A37" s="100">
        <v>45505</v>
      </c>
      <c r="B37" s="100" t="s">
        <v>263</v>
      </c>
      <c r="C37" s="3">
        <v>2024</v>
      </c>
      <c r="D37" s="3" t="s">
        <v>7</v>
      </c>
      <c r="E37" s="45" t="s">
        <v>137</v>
      </c>
      <c r="F37" s="45"/>
      <c r="G37" s="87">
        <v>2</v>
      </c>
      <c r="H37" s="4">
        <f>VLOOKUP(E37,TABLE!$B$1:$C$137,2,FALSE)</f>
        <v>108.39</v>
      </c>
      <c r="I37" s="4">
        <f t="shared" si="1"/>
        <v>216.78</v>
      </c>
      <c r="J37" s="3" t="s">
        <v>15</v>
      </c>
    </row>
    <row r="38" spans="1:10">
      <c r="A38" s="100">
        <v>45505</v>
      </c>
      <c r="B38" s="100" t="s">
        <v>263</v>
      </c>
      <c r="C38" s="3">
        <v>2024</v>
      </c>
      <c r="D38" s="3" t="s">
        <v>12</v>
      </c>
      <c r="E38" s="110" t="s">
        <v>14</v>
      </c>
      <c r="F38" s="71"/>
      <c r="G38" s="86">
        <v>14</v>
      </c>
      <c r="H38" s="4">
        <f>VLOOKUP(E38,TABLE!$B$1:$C$137,2,FALSE)</f>
        <v>49.25</v>
      </c>
      <c r="I38" s="4">
        <f t="shared" si="1"/>
        <v>689.5</v>
      </c>
      <c r="J38" s="3" t="s">
        <v>15</v>
      </c>
    </row>
    <row r="39" spans="1:10">
      <c r="A39" s="100">
        <v>45505</v>
      </c>
      <c r="B39" s="100" t="s">
        <v>263</v>
      </c>
      <c r="C39" s="3">
        <v>2024</v>
      </c>
      <c r="D39" s="3" t="s">
        <v>12</v>
      </c>
      <c r="E39" s="110" t="s">
        <v>11</v>
      </c>
      <c r="F39" s="71"/>
      <c r="G39" s="86">
        <v>8</v>
      </c>
      <c r="H39" s="4">
        <f>VLOOKUP(E39,TABLE!$B$1:$C$137,2,FALSE)</f>
        <v>32.32</v>
      </c>
      <c r="I39" s="4">
        <f t="shared" si="1"/>
        <v>258.56</v>
      </c>
      <c r="J39" s="3" t="s">
        <v>15</v>
      </c>
    </row>
    <row r="40" spans="1:10">
      <c r="A40" s="100">
        <v>45505</v>
      </c>
      <c r="B40" s="100" t="s">
        <v>263</v>
      </c>
      <c r="C40" s="3">
        <v>2024</v>
      </c>
      <c r="D40" s="3" t="s">
        <v>12</v>
      </c>
      <c r="E40" s="110" t="s">
        <v>19</v>
      </c>
      <c r="F40" s="71"/>
      <c r="G40" s="86">
        <v>2</v>
      </c>
      <c r="H40" s="4">
        <f>VLOOKUP(E40,TABLE!$B$1:$C$137,2,FALSE)</f>
        <v>23.91</v>
      </c>
      <c r="I40" s="4">
        <f t="shared" si="1"/>
        <v>47.82</v>
      </c>
      <c r="J40" s="3" t="s">
        <v>15</v>
      </c>
    </row>
    <row r="41" spans="1:10">
      <c r="A41" s="100">
        <v>45505</v>
      </c>
      <c r="B41" s="100" t="s">
        <v>263</v>
      </c>
      <c r="C41" s="3">
        <v>2024</v>
      </c>
      <c r="D41" s="3" t="s">
        <v>12</v>
      </c>
      <c r="E41" s="110" t="s">
        <v>38</v>
      </c>
      <c r="F41" s="71"/>
      <c r="G41" s="86">
        <v>1</v>
      </c>
      <c r="H41" s="4">
        <f>VLOOKUP(E41,TABLE!$B$1:$C$137,2,FALSE)</f>
        <v>27.14</v>
      </c>
      <c r="I41" s="4">
        <f t="shared" si="1"/>
        <v>27.14</v>
      </c>
      <c r="J41" s="3" t="s">
        <v>15</v>
      </c>
    </row>
    <row r="42" spans="1:10">
      <c r="A42" s="100">
        <v>45505</v>
      </c>
      <c r="B42" s="100" t="s">
        <v>263</v>
      </c>
      <c r="C42" s="3">
        <v>2024</v>
      </c>
      <c r="D42" s="3" t="s">
        <v>12</v>
      </c>
      <c r="E42" s="110" t="s">
        <v>20</v>
      </c>
      <c r="F42" s="71"/>
      <c r="G42" s="86">
        <v>4</v>
      </c>
      <c r="H42" s="4">
        <f>VLOOKUP(E42,TABLE!$B$1:$C$137,2,FALSE)</f>
        <v>38.270000000000003</v>
      </c>
      <c r="I42" s="4">
        <f t="shared" si="1"/>
        <v>153.08000000000001</v>
      </c>
      <c r="J42" s="3" t="s">
        <v>15</v>
      </c>
    </row>
    <row r="43" spans="1:10">
      <c r="A43" s="100">
        <v>45505</v>
      </c>
      <c r="B43" s="100" t="s">
        <v>263</v>
      </c>
      <c r="C43" s="3">
        <v>2024</v>
      </c>
      <c r="D43" s="3" t="s">
        <v>12</v>
      </c>
      <c r="E43" s="110" t="s">
        <v>21</v>
      </c>
      <c r="F43" s="71"/>
      <c r="G43" s="86">
        <v>1</v>
      </c>
      <c r="H43" s="4">
        <f>VLOOKUP(E43,TABLE!$B$1:$C$137,2,FALSE)</f>
        <v>44.78</v>
      </c>
      <c r="I43" s="4">
        <f t="shared" si="1"/>
        <v>44.78</v>
      </c>
      <c r="J43" s="3" t="s">
        <v>15</v>
      </c>
    </row>
    <row r="44" spans="1:10">
      <c r="A44" s="100">
        <v>45505</v>
      </c>
      <c r="B44" s="100" t="s">
        <v>263</v>
      </c>
      <c r="C44" s="3">
        <v>2024</v>
      </c>
      <c r="D44" s="3" t="s">
        <v>12</v>
      </c>
      <c r="E44" s="110" t="s">
        <v>40</v>
      </c>
      <c r="F44" s="71"/>
      <c r="G44" s="86">
        <v>15</v>
      </c>
      <c r="H44" s="4">
        <f>VLOOKUP(E44,TABLE!$B$1:$C$137,2,FALSE)</f>
        <v>53.57</v>
      </c>
      <c r="I44" s="4">
        <f t="shared" si="1"/>
        <v>803.55</v>
      </c>
      <c r="J44" s="3" t="s">
        <v>15</v>
      </c>
    </row>
    <row r="45" spans="1:10">
      <c r="A45" s="100">
        <v>45505</v>
      </c>
      <c r="B45" s="100" t="s">
        <v>263</v>
      </c>
      <c r="C45" s="3">
        <v>2024</v>
      </c>
      <c r="D45" s="3" t="s">
        <v>12</v>
      </c>
      <c r="E45" s="110" t="s">
        <v>14</v>
      </c>
      <c r="F45" s="71"/>
      <c r="G45" s="86">
        <v>2</v>
      </c>
      <c r="H45" s="4">
        <f>VLOOKUP(E45,TABLE!$B$1:$C$137,2,FALSE)</f>
        <v>49.25</v>
      </c>
      <c r="I45" s="4">
        <f t="shared" si="1"/>
        <v>98.5</v>
      </c>
      <c r="J45" s="3" t="s">
        <v>13</v>
      </c>
    </row>
    <row r="46" spans="1:10">
      <c r="A46" s="100">
        <v>45505</v>
      </c>
      <c r="B46" s="100" t="s">
        <v>263</v>
      </c>
      <c r="C46" s="3">
        <v>2024</v>
      </c>
      <c r="D46" s="3" t="s">
        <v>12</v>
      </c>
      <c r="E46" s="110" t="s">
        <v>21</v>
      </c>
      <c r="F46" s="71"/>
      <c r="G46" s="86">
        <v>3</v>
      </c>
      <c r="H46" s="4">
        <f>VLOOKUP(E46,TABLE!$B$1:$C$137,2,FALSE)</f>
        <v>44.78</v>
      </c>
      <c r="I46" s="4">
        <f t="shared" si="1"/>
        <v>134.34</v>
      </c>
      <c r="J46" s="3" t="s">
        <v>243</v>
      </c>
    </row>
    <row r="47" spans="1:10">
      <c r="A47" s="100">
        <v>45505</v>
      </c>
      <c r="B47" s="100" t="s">
        <v>263</v>
      </c>
      <c r="C47" s="3">
        <v>2024</v>
      </c>
      <c r="D47" s="3" t="s">
        <v>28</v>
      </c>
      <c r="E47" s="111" t="s">
        <v>84</v>
      </c>
      <c r="F47" s="88"/>
      <c r="G47" s="89">
        <v>1</v>
      </c>
      <c r="H47" s="4">
        <f>VLOOKUP(E47,TABLE!$B$1:$C$137,2,FALSE)</f>
        <v>15.38</v>
      </c>
      <c r="I47" s="4">
        <f t="shared" si="1"/>
        <v>15.38</v>
      </c>
      <c r="J47" s="3" t="s">
        <v>246</v>
      </c>
    </row>
    <row r="48" spans="1:10">
      <c r="A48" s="100">
        <v>45505</v>
      </c>
      <c r="B48" s="100" t="s">
        <v>263</v>
      </c>
      <c r="C48" s="3">
        <v>2024</v>
      </c>
      <c r="D48" s="3" t="s">
        <v>28</v>
      </c>
      <c r="E48" s="111" t="s">
        <v>113</v>
      </c>
      <c r="F48" s="88"/>
      <c r="G48" s="89">
        <v>18</v>
      </c>
      <c r="H48" s="4">
        <f>VLOOKUP(E48,TABLE!$B$1:$C$137,2,FALSE)</f>
        <v>52.3</v>
      </c>
      <c r="I48" s="4">
        <f t="shared" si="1"/>
        <v>941.4</v>
      </c>
      <c r="J48" s="3" t="s">
        <v>246</v>
      </c>
    </row>
    <row r="49" spans="1:10">
      <c r="A49" s="100">
        <v>45505</v>
      </c>
      <c r="B49" s="100" t="s">
        <v>263</v>
      </c>
      <c r="C49" s="3">
        <v>2024</v>
      </c>
      <c r="D49" s="3" t="s">
        <v>28</v>
      </c>
      <c r="E49" s="111" t="s">
        <v>25</v>
      </c>
      <c r="F49" s="88"/>
      <c r="G49" s="89">
        <v>1</v>
      </c>
      <c r="H49" s="4">
        <f>VLOOKUP(E49,TABLE!$B$1:$C$137,2,FALSE)</f>
        <v>20.04</v>
      </c>
      <c r="I49" s="4">
        <f t="shared" si="1"/>
        <v>20.04</v>
      </c>
      <c r="J49" s="3" t="s">
        <v>246</v>
      </c>
    </row>
    <row r="50" spans="1:10">
      <c r="A50" s="100">
        <v>45505</v>
      </c>
      <c r="B50" s="100" t="s">
        <v>263</v>
      </c>
      <c r="C50" s="3">
        <v>2024</v>
      </c>
      <c r="D50" s="3" t="s">
        <v>28</v>
      </c>
      <c r="E50" s="111" t="s">
        <v>27</v>
      </c>
      <c r="F50" s="89"/>
      <c r="G50" s="89">
        <v>26</v>
      </c>
      <c r="H50" s="4">
        <f>VLOOKUP(E50,TABLE!$B$1:$C$137,2,FALSE)</f>
        <v>11.59</v>
      </c>
      <c r="I50" s="4">
        <f t="shared" si="1"/>
        <v>301.33999999999997</v>
      </c>
      <c r="J50" s="3" t="s">
        <v>29</v>
      </c>
    </row>
    <row r="51" spans="1:10">
      <c r="A51" s="100">
        <v>45505</v>
      </c>
      <c r="B51" s="100" t="s">
        <v>263</v>
      </c>
      <c r="C51" s="3">
        <v>2024</v>
      </c>
      <c r="D51" s="3" t="s">
        <v>28</v>
      </c>
      <c r="E51" s="111" t="s">
        <v>84</v>
      </c>
      <c r="F51" s="88"/>
      <c r="G51" s="89">
        <v>8</v>
      </c>
      <c r="H51" s="4">
        <f>VLOOKUP(E51,TABLE!$B$1:$C$137,2,FALSE)</f>
        <v>15.38</v>
      </c>
      <c r="I51" s="4">
        <f t="shared" si="1"/>
        <v>123.04</v>
      </c>
      <c r="J51" s="3" t="s">
        <v>244</v>
      </c>
    </row>
    <row r="52" spans="1:10">
      <c r="A52" s="100">
        <v>45505</v>
      </c>
      <c r="B52" s="100" t="s">
        <v>263</v>
      </c>
      <c r="C52" s="3">
        <v>2024</v>
      </c>
      <c r="D52" s="3" t="s">
        <v>28</v>
      </c>
      <c r="E52" s="111" t="s">
        <v>25</v>
      </c>
      <c r="F52" s="88"/>
      <c r="G52" s="89">
        <v>1</v>
      </c>
      <c r="H52" s="4">
        <f>VLOOKUP(E52,TABLE!$B$1:$C$137,2,FALSE)</f>
        <v>20.04</v>
      </c>
      <c r="I52" s="4">
        <f t="shared" si="1"/>
        <v>20.04</v>
      </c>
      <c r="J52" s="3" t="s">
        <v>244</v>
      </c>
    </row>
    <row r="53" spans="1:10">
      <c r="A53" s="100">
        <v>45505</v>
      </c>
      <c r="B53" s="100" t="s">
        <v>263</v>
      </c>
      <c r="C53" s="3">
        <v>2024</v>
      </c>
      <c r="D53" s="3" t="s">
        <v>28</v>
      </c>
      <c r="E53" s="14" t="s">
        <v>90</v>
      </c>
      <c r="F53" s="14"/>
      <c r="G53" s="15">
        <v>9</v>
      </c>
      <c r="H53" s="4">
        <f>VLOOKUP(E53,TABLE!$B$1:$C$137,2,FALSE)</f>
        <v>40.71</v>
      </c>
      <c r="I53" s="4">
        <f t="shared" si="1"/>
        <v>366.39</v>
      </c>
      <c r="J53" s="3" t="s">
        <v>244</v>
      </c>
    </row>
    <row r="54" spans="1:10">
      <c r="A54" s="100">
        <v>45505</v>
      </c>
      <c r="B54" s="100" t="s">
        <v>263</v>
      </c>
      <c r="C54" s="3">
        <v>2024</v>
      </c>
      <c r="D54" s="3" t="s">
        <v>12</v>
      </c>
      <c r="E54" s="110" t="s">
        <v>41</v>
      </c>
      <c r="F54" s="71"/>
      <c r="G54" s="86">
        <v>3</v>
      </c>
      <c r="H54" s="4">
        <f>VLOOKUP(E54,TABLE!$B$1:$C$137,2,FALSE)</f>
        <v>46.91</v>
      </c>
      <c r="I54" s="4">
        <f t="shared" si="1"/>
        <v>140.72999999999999</v>
      </c>
      <c r="J54" s="3" t="s">
        <v>13</v>
      </c>
    </row>
    <row r="55" spans="1:10">
      <c r="A55" s="100">
        <v>45536</v>
      </c>
      <c r="B55" s="100" t="s">
        <v>264</v>
      </c>
      <c r="C55" s="3">
        <v>2024</v>
      </c>
      <c r="D55" s="3" t="s">
        <v>7</v>
      </c>
      <c r="E55" s="45" t="s">
        <v>9</v>
      </c>
      <c r="F55" s="45"/>
      <c r="G55" s="87">
        <v>7</v>
      </c>
      <c r="H55" s="4">
        <f>VLOOKUP(E55,TABLE!$B$1:$C$137,2,FALSE)</f>
        <v>114.33</v>
      </c>
      <c r="I55" s="4">
        <f t="shared" si="1"/>
        <v>800.31</v>
      </c>
      <c r="J55" s="3" t="s">
        <v>13</v>
      </c>
    </row>
    <row r="56" spans="1:10">
      <c r="A56" s="100">
        <v>45536</v>
      </c>
      <c r="B56" s="100" t="s">
        <v>264</v>
      </c>
      <c r="C56" s="3">
        <v>2024</v>
      </c>
      <c r="D56" s="3" t="s">
        <v>7</v>
      </c>
      <c r="E56" s="45" t="s">
        <v>57</v>
      </c>
      <c r="F56" s="77"/>
      <c r="G56" s="87">
        <v>4</v>
      </c>
      <c r="H56" s="4">
        <f>VLOOKUP(E56,TABLE!$B$1:$C$137,2,FALSE)</f>
        <v>142.27000000000001</v>
      </c>
      <c r="I56" s="4">
        <f t="shared" si="1"/>
        <v>569.08000000000004</v>
      </c>
      <c r="J56" s="3" t="s">
        <v>13</v>
      </c>
    </row>
    <row r="57" spans="1:10">
      <c r="A57" s="100">
        <v>45536</v>
      </c>
      <c r="B57" s="100" t="s">
        <v>264</v>
      </c>
      <c r="C57" s="3">
        <v>2024</v>
      </c>
      <c r="D57" s="3" t="s">
        <v>7</v>
      </c>
      <c r="E57" s="45" t="s">
        <v>31</v>
      </c>
      <c r="F57" s="45"/>
      <c r="G57" s="87">
        <v>14</v>
      </c>
      <c r="H57" s="4">
        <f>VLOOKUP(E57,TABLE!$B$1:$C$137,2,FALSE)</f>
        <v>85.75</v>
      </c>
      <c r="I57" s="4">
        <f t="shared" si="1"/>
        <v>1200.5</v>
      </c>
      <c r="J57" s="3" t="s">
        <v>32</v>
      </c>
    </row>
    <row r="58" spans="1:10">
      <c r="A58" s="100">
        <v>45536</v>
      </c>
      <c r="B58" s="100" t="s">
        <v>264</v>
      </c>
      <c r="C58" s="3">
        <v>2024</v>
      </c>
      <c r="D58" s="3" t="s">
        <v>7</v>
      </c>
      <c r="E58" s="45" t="s">
        <v>3</v>
      </c>
      <c r="F58" s="45"/>
      <c r="G58" s="87">
        <v>4</v>
      </c>
      <c r="H58" s="4">
        <f>VLOOKUP(E58,TABLE!$B$1:$C$137,2,FALSE)</f>
        <v>85</v>
      </c>
      <c r="I58" s="4">
        <f t="shared" si="1"/>
        <v>340</v>
      </c>
      <c r="J58" s="3" t="s">
        <v>10</v>
      </c>
    </row>
    <row r="59" spans="1:10">
      <c r="A59" s="100">
        <v>45536</v>
      </c>
      <c r="B59" s="100" t="s">
        <v>264</v>
      </c>
      <c r="C59" s="3">
        <v>2024</v>
      </c>
      <c r="D59" s="3" t="s">
        <v>7</v>
      </c>
      <c r="E59" s="45" t="s">
        <v>247</v>
      </c>
      <c r="F59" s="45"/>
      <c r="G59" s="87">
        <v>8</v>
      </c>
      <c r="H59" s="4">
        <f>VLOOKUP(E59,TABLE!$B$1:$C$137,2,FALSE)</f>
        <v>30.18</v>
      </c>
      <c r="I59" s="4">
        <v>692.16</v>
      </c>
      <c r="J59" s="3" t="s">
        <v>246</v>
      </c>
    </row>
    <row r="60" spans="1:10">
      <c r="A60" s="100">
        <v>45536</v>
      </c>
      <c r="B60" s="100" t="s">
        <v>264</v>
      </c>
      <c r="C60" s="3">
        <v>2024</v>
      </c>
      <c r="D60" s="3" t="s">
        <v>12</v>
      </c>
      <c r="E60" s="110" t="s">
        <v>14</v>
      </c>
      <c r="F60" s="103"/>
      <c r="G60" s="87">
        <v>9</v>
      </c>
      <c r="H60" s="4">
        <f>VLOOKUP(E60,TABLE!$B$1:$C$137,2,FALSE)</f>
        <v>49.25</v>
      </c>
      <c r="I60" s="4">
        <f t="shared" ref="I60:I91" si="2">G60*H60</f>
        <v>443.25</v>
      </c>
      <c r="J60" s="3" t="s">
        <v>13</v>
      </c>
    </row>
    <row r="61" spans="1:10">
      <c r="A61" s="100">
        <v>45536</v>
      </c>
      <c r="B61" s="100" t="s">
        <v>264</v>
      </c>
      <c r="C61" s="3">
        <v>2024</v>
      </c>
      <c r="D61" s="3" t="s">
        <v>12</v>
      </c>
      <c r="E61" s="110" t="s">
        <v>21</v>
      </c>
      <c r="F61" s="103"/>
      <c r="G61" s="87">
        <v>7</v>
      </c>
      <c r="H61" s="4">
        <f>VLOOKUP(E61,TABLE!$B$1:$C$137,2,FALSE)</f>
        <v>44.78</v>
      </c>
      <c r="I61" s="4">
        <f t="shared" si="2"/>
        <v>313.46000000000004</v>
      </c>
      <c r="J61" s="3" t="s">
        <v>13</v>
      </c>
    </row>
    <row r="62" spans="1:10">
      <c r="A62" s="100">
        <v>45536</v>
      </c>
      <c r="B62" s="100" t="s">
        <v>264</v>
      </c>
      <c r="C62" s="3">
        <v>2024</v>
      </c>
      <c r="D62" s="3" t="s">
        <v>12</v>
      </c>
      <c r="E62" s="110" t="s">
        <v>125</v>
      </c>
      <c r="F62" s="103"/>
      <c r="G62" s="87">
        <v>3</v>
      </c>
      <c r="H62" s="4">
        <f>VLOOKUP(E62,TABLE!$B$1:$C$137,2,FALSE)</f>
        <v>26.1</v>
      </c>
      <c r="I62" s="4">
        <f t="shared" si="2"/>
        <v>78.300000000000011</v>
      </c>
      <c r="J62" s="3" t="s">
        <v>15</v>
      </c>
    </row>
    <row r="63" spans="1:10">
      <c r="A63" s="100">
        <v>45536</v>
      </c>
      <c r="B63" s="100" t="s">
        <v>264</v>
      </c>
      <c r="C63" s="3">
        <v>2024</v>
      </c>
      <c r="D63" s="3" t="s">
        <v>12</v>
      </c>
      <c r="E63" s="110" t="s">
        <v>38</v>
      </c>
      <c r="F63" s="103"/>
      <c r="G63" s="87">
        <v>7</v>
      </c>
      <c r="H63" s="4">
        <f>VLOOKUP(E63,TABLE!$B$1:$C$137,2,FALSE)</f>
        <v>27.14</v>
      </c>
      <c r="I63" s="4">
        <f t="shared" si="2"/>
        <v>189.98000000000002</v>
      </c>
      <c r="J63" s="3" t="s">
        <v>15</v>
      </c>
    </row>
    <row r="64" spans="1:10">
      <c r="A64" s="100">
        <v>45536</v>
      </c>
      <c r="B64" s="100" t="s">
        <v>264</v>
      </c>
      <c r="C64" s="3">
        <v>2024</v>
      </c>
      <c r="D64" s="3" t="s">
        <v>28</v>
      </c>
      <c r="E64" s="73" t="s">
        <v>241</v>
      </c>
      <c r="F64" s="86"/>
      <c r="G64" s="86">
        <v>3</v>
      </c>
      <c r="H64" s="4">
        <f>VLOOKUP(E64,TABLE!$B$1:$C$137,2,FALSE)</f>
        <v>7.62</v>
      </c>
      <c r="I64" s="4">
        <f t="shared" si="2"/>
        <v>22.86</v>
      </c>
      <c r="J64" s="3" t="s">
        <v>29</v>
      </c>
    </row>
    <row r="65" spans="1:10">
      <c r="A65" s="100">
        <v>45536</v>
      </c>
      <c r="B65" s="100" t="s">
        <v>264</v>
      </c>
      <c r="C65" s="3">
        <v>2024</v>
      </c>
      <c r="D65" s="3" t="s">
        <v>28</v>
      </c>
      <c r="E65" s="73" t="s">
        <v>27</v>
      </c>
      <c r="F65" s="86"/>
      <c r="G65" s="86">
        <v>10</v>
      </c>
      <c r="H65" s="4">
        <f>VLOOKUP(E65,TABLE!$B$1:$C$137,2,FALSE)</f>
        <v>11.59</v>
      </c>
      <c r="I65" s="4">
        <f t="shared" si="2"/>
        <v>115.9</v>
      </c>
      <c r="J65" s="3" t="s">
        <v>29</v>
      </c>
    </row>
    <row r="66" spans="1:10">
      <c r="A66" s="100">
        <v>45566</v>
      </c>
      <c r="B66" s="100" t="s">
        <v>265</v>
      </c>
      <c r="C66" s="3">
        <v>2024</v>
      </c>
      <c r="D66" s="3" t="s">
        <v>7</v>
      </c>
      <c r="E66" s="45" t="s">
        <v>71</v>
      </c>
      <c r="F66" s="45"/>
      <c r="G66" s="87">
        <v>14</v>
      </c>
      <c r="H66" s="4">
        <f>VLOOKUP(E66,TABLE!$B$1:$C$137,2,FALSE)</f>
        <v>72.31</v>
      </c>
      <c r="I66" s="4">
        <f t="shared" si="2"/>
        <v>1012.34</v>
      </c>
      <c r="J66" s="3" t="s">
        <v>13</v>
      </c>
    </row>
    <row r="67" spans="1:10">
      <c r="A67" s="100">
        <v>45566</v>
      </c>
      <c r="B67" s="100" t="s">
        <v>265</v>
      </c>
      <c r="C67" s="3">
        <v>2024</v>
      </c>
      <c r="D67" s="3" t="s">
        <v>7</v>
      </c>
      <c r="E67" s="45" t="s">
        <v>9</v>
      </c>
      <c r="F67" s="45"/>
      <c r="G67" s="87">
        <v>13</v>
      </c>
      <c r="H67" s="4">
        <f>VLOOKUP(E67,TABLE!$B$1:$C$137,2,FALSE)</f>
        <v>114.33</v>
      </c>
      <c r="I67" s="4">
        <f t="shared" si="2"/>
        <v>1486.29</v>
      </c>
      <c r="J67" s="3" t="s">
        <v>13</v>
      </c>
    </row>
    <row r="68" spans="1:10">
      <c r="A68" s="100">
        <v>45566</v>
      </c>
      <c r="B68" s="100" t="s">
        <v>265</v>
      </c>
      <c r="C68" s="3">
        <v>2024</v>
      </c>
      <c r="D68" s="3" t="s">
        <v>28</v>
      </c>
      <c r="E68" s="45" t="s">
        <v>36</v>
      </c>
      <c r="F68" s="45"/>
      <c r="G68" s="87">
        <v>1</v>
      </c>
      <c r="H68" s="4">
        <f>VLOOKUP(E68,TABLE!$B$1:$C$137,2,FALSE)</f>
        <v>358</v>
      </c>
      <c r="I68" s="4">
        <f t="shared" si="2"/>
        <v>358</v>
      </c>
      <c r="J68" s="3" t="s">
        <v>13</v>
      </c>
    </row>
    <row r="69" spans="1:10">
      <c r="A69" s="100">
        <v>45566</v>
      </c>
      <c r="B69" s="100" t="s">
        <v>265</v>
      </c>
      <c r="C69" s="3">
        <v>2024</v>
      </c>
      <c r="D69" s="3" t="s">
        <v>7</v>
      </c>
      <c r="E69" s="45" t="s">
        <v>160</v>
      </c>
      <c r="F69" s="45"/>
      <c r="G69" s="87">
        <v>1</v>
      </c>
      <c r="H69" s="4">
        <f>VLOOKUP(E69,TABLE!$B$1:$C$137,2,FALSE)</f>
        <v>115.36</v>
      </c>
      <c r="I69" s="4">
        <f t="shared" si="2"/>
        <v>115.36</v>
      </c>
      <c r="J69" s="3" t="s">
        <v>13</v>
      </c>
    </row>
    <row r="70" spans="1:10">
      <c r="A70" s="100">
        <v>45566</v>
      </c>
      <c r="B70" s="100" t="s">
        <v>265</v>
      </c>
      <c r="C70" s="3">
        <v>2024</v>
      </c>
      <c r="D70" s="3" t="s">
        <v>7</v>
      </c>
      <c r="E70" s="45" t="s">
        <v>73</v>
      </c>
      <c r="F70" s="45"/>
      <c r="G70" s="87">
        <v>2</v>
      </c>
      <c r="H70" s="4">
        <f>VLOOKUP(E70,TABLE!$B$1:$C$137,2,FALSE)</f>
        <v>97.22</v>
      </c>
      <c r="I70" s="4">
        <f t="shared" si="2"/>
        <v>194.44</v>
      </c>
      <c r="J70" s="3" t="s">
        <v>13</v>
      </c>
    </row>
    <row r="71" spans="1:10">
      <c r="A71" s="100">
        <v>45566</v>
      </c>
      <c r="B71" s="100" t="s">
        <v>265</v>
      </c>
      <c r="C71" s="3">
        <v>2024</v>
      </c>
      <c r="D71" s="3" t="s">
        <v>7</v>
      </c>
      <c r="E71" s="45" t="s">
        <v>3</v>
      </c>
      <c r="F71" s="45"/>
      <c r="G71" s="87">
        <v>6</v>
      </c>
      <c r="H71" s="4">
        <f>VLOOKUP(E71,TABLE!$B$1:$C$137,2,FALSE)</f>
        <v>85</v>
      </c>
      <c r="I71" s="4">
        <f t="shared" si="2"/>
        <v>510</v>
      </c>
      <c r="J71" s="3" t="s">
        <v>13</v>
      </c>
    </row>
    <row r="72" spans="1:10">
      <c r="A72" s="100">
        <v>45566</v>
      </c>
      <c r="B72" s="100" t="s">
        <v>265</v>
      </c>
      <c r="C72" s="3">
        <v>2024</v>
      </c>
      <c r="D72" s="3" t="s">
        <v>7</v>
      </c>
      <c r="E72" s="45" t="s">
        <v>148</v>
      </c>
      <c r="F72" s="45"/>
      <c r="G72" s="87">
        <v>4</v>
      </c>
      <c r="H72" s="4">
        <f>VLOOKUP(E72,TABLE!$B$1:$C$137,2,FALSE)</f>
        <v>126.16</v>
      </c>
      <c r="I72" s="4">
        <f t="shared" si="2"/>
        <v>504.64</v>
      </c>
      <c r="J72" s="3" t="s">
        <v>13</v>
      </c>
    </row>
    <row r="73" spans="1:10">
      <c r="A73" s="100">
        <v>45566</v>
      </c>
      <c r="B73" s="100" t="s">
        <v>265</v>
      </c>
      <c r="C73" s="3">
        <v>2024</v>
      </c>
      <c r="D73" s="3" t="s">
        <v>7</v>
      </c>
      <c r="E73" s="45" t="s">
        <v>137</v>
      </c>
      <c r="F73" s="45"/>
      <c r="G73" s="87">
        <v>18</v>
      </c>
      <c r="H73" s="4">
        <f>VLOOKUP(E73,TABLE!$B$1:$C$137,2,FALSE)</f>
        <v>108.39</v>
      </c>
      <c r="I73" s="4">
        <f t="shared" si="2"/>
        <v>1951.02</v>
      </c>
      <c r="J73" s="3" t="s">
        <v>13</v>
      </c>
    </row>
    <row r="74" spans="1:10">
      <c r="A74" s="100">
        <v>45566</v>
      </c>
      <c r="B74" s="100" t="s">
        <v>265</v>
      </c>
      <c r="C74" s="3">
        <v>2024</v>
      </c>
      <c r="D74" s="3" t="s">
        <v>7</v>
      </c>
      <c r="E74" s="45" t="s">
        <v>31</v>
      </c>
      <c r="F74" s="45"/>
      <c r="G74" s="87">
        <v>28</v>
      </c>
      <c r="H74" s="4">
        <f>VLOOKUP(E74,TABLE!$B$1:$C$137,2,FALSE)</f>
        <v>85.75</v>
      </c>
      <c r="I74" s="4">
        <f t="shared" si="2"/>
        <v>2401</v>
      </c>
      <c r="J74" s="3" t="s">
        <v>32</v>
      </c>
    </row>
    <row r="75" spans="1:10">
      <c r="A75" s="100">
        <v>45566</v>
      </c>
      <c r="B75" s="100" t="s">
        <v>265</v>
      </c>
      <c r="C75" s="3">
        <v>2024</v>
      </c>
      <c r="D75" s="3" t="s">
        <v>7</v>
      </c>
      <c r="E75" s="45" t="s">
        <v>71</v>
      </c>
      <c r="F75" s="45"/>
      <c r="G75" s="87">
        <v>4</v>
      </c>
      <c r="H75" s="4">
        <f>VLOOKUP(E75,TABLE!$B$1:$C$137,2,FALSE)</f>
        <v>72.31</v>
      </c>
      <c r="I75" s="4">
        <f t="shared" si="2"/>
        <v>289.24</v>
      </c>
      <c r="J75" s="3" t="s">
        <v>242</v>
      </c>
    </row>
    <row r="76" spans="1:10">
      <c r="A76" s="100">
        <v>45566</v>
      </c>
      <c r="B76" s="100" t="s">
        <v>265</v>
      </c>
      <c r="C76" s="3">
        <v>2024</v>
      </c>
      <c r="D76" s="3" t="s">
        <v>12</v>
      </c>
      <c r="E76" s="110" t="s">
        <v>14</v>
      </c>
      <c r="F76" s="103"/>
      <c r="G76" s="87">
        <v>8</v>
      </c>
      <c r="H76" s="4">
        <f>VLOOKUP(E76,TABLE!$B$1:$C$137,2,FALSE)</f>
        <v>49.25</v>
      </c>
      <c r="I76" s="4">
        <f t="shared" si="2"/>
        <v>394</v>
      </c>
      <c r="J76" s="3" t="s">
        <v>15</v>
      </c>
    </row>
    <row r="77" spans="1:10">
      <c r="A77" s="100">
        <v>45566</v>
      </c>
      <c r="B77" s="100" t="s">
        <v>265</v>
      </c>
      <c r="C77" s="3">
        <v>2024</v>
      </c>
      <c r="D77" s="3" t="s">
        <v>12</v>
      </c>
      <c r="E77" s="110" t="s">
        <v>11</v>
      </c>
      <c r="F77" s="103"/>
      <c r="G77" s="87">
        <v>10</v>
      </c>
      <c r="H77" s="4">
        <f>VLOOKUP(E77,TABLE!$B$1:$C$137,2,FALSE)</f>
        <v>32.32</v>
      </c>
      <c r="I77" s="4">
        <f t="shared" si="2"/>
        <v>323.2</v>
      </c>
      <c r="J77" s="3" t="s">
        <v>15</v>
      </c>
    </row>
    <row r="78" spans="1:10">
      <c r="A78" s="100">
        <v>45566</v>
      </c>
      <c r="B78" s="100" t="s">
        <v>265</v>
      </c>
      <c r="C78" s="3">
        <v>2024</v>
      </c>
      <c r="D78" s="3" t="s">
        <v>12</v>
      </c>
      <c r="E78" s="110" t="s">
        <v>38</v>
      </c>
      <c r="F78" s="103"/>
      <c r="G78" s="87">
        <v>1</v>
      </c>
      <c r="H78" s="4">
        <f>VLOOKUP(E78,TABLE!$B$1:$C$137,2,FALSE)</f>
        <v>27.14</v>
      </c>
      <c r="I78" s="4">
        <f t="shared" si="2"/>
        <v>27.14</v>
      </c>
      <c r="J78" s="3" t="s">
        <v>15</v>
      </c>
    </row>
    <row r="79" spans="1:10">
      <c r="A79" s="100">
        <v>45566</v>
      </c>
      <c r="B79" s="100" t="s">
        <v>265</v>
      </c>
      <c r="C79" s="3">
        <v>2024</v>
      </c>
      <c r="D79" s="3" t="s">
        <v>12</v>
      </c>
      <c r="E79" s="110" t="s">
        <v>20</v>
      </c>
      <c r="F79" s="103"/>
      <c r="G79" s="87">
        <v>43</v>
      </c>
      <c r="H79" s="4">
        <f>VLOOKUP(E79,TABLE!$B$1:$C$137,2,FALSE)</f>
        <v>38.270000000000003</v>
      </c>
      <c r="I79" s="4">
        <f t="shared" si="2"/>
        <v>1645.6100000000001</v>
      </c>
      <c r="J79" s="3" t="s">
        <v>15</v>
      </c>
    </row>
    <row r="80" spans="1:10">
      <c r="A80" s="100">
        <v>45566</v>
      </c>
      <c r="B80" s="100" t="s">
        <v>265</v>
      </c>
      <c r="C80" s="3">
        <v>2024</v>
      </c>
      <c r="D80" s="3" t="s">
        <v>12</v>
      </c>
      <c r="E80" s="110" t="s">
        <v>21</v>
      </c>
      <c r="F80" s="103"/>
      <c r="G80" s="87">
        <v>3</v>
      </c>
      <c r="H80" s="4">
        <f>VLOOKUP(E80,TABLE!$B$1:$C$137,2,FALSE)</f>
        <v>44.78</v>
      </c>
      <c r="I80" s="4">
        <f t="shared" si="2"/>
        <v>134.34</v>
      </c>
      <c r="J80" s="3" t="s">
        <v>15</v>
      </c>
    </row>
    <row r="81" spans="1:10">
      <c r="A81" s="100">
        <v>45566</v>
      </c>
      <c r="B81" s="100" t="s">
        <v>265</v>
      </c>
      <c r="C81" s="3">
        <v>2024</v>
      </c>
      <c r="D81" s="3" t="s">
        <v>12</v>
      </c>
      <c r="E81" s="110" t="s">
        <v>24</v>
      </c>
      <c r="F81" s="103"/>
      <c r="G81" s="87">
        <v>1</v>
      </c>
      <c r="H81" s="4">
        <f>VLOOKUP(E81,TABLE!$B$1:$C$137,2,FALSE)</f>
        <v>73.53</v>
      </c>
      <c r="I81" s="4">
        <f t="shared" si="2"/>
        <v>73.53</v>
      </c>
      <c r="J81" s="3" t="s">
        <v>15</v>
      </c>
    </row>
    <row r="82" spans="1:10">
      <c r="A82" s="100">
        <v>45566</v>
      </c>
      <c r="B82" s="100" t="s">
        <v>265</v>
      </c>
      <c r="C82" s="3">
        <v>2024</v>
      </c>
      <c r="D82" s="3" t="s">
        <v>12</v>
      </c>
      <c r="E82" s="110" t="s">
        <v>38</v>
      </c>
      <c r="F82" s="103"/>
      <c r="G82" s="87">
        <v>3</v>
      </c>
      <c r="H82" s="4">
        <f>VLOOKUP(E82,TABLE!$B$1:$C$137,2,FALSE)</f>
        <v>27.14</v>
      </c>
      <c r="I82" s="4">
        <f t="shared" si="2"/>
        <v>81.42</v>
      </c>
      <c r="J82" s="3" t="s">
        <v>13</v>
      </c>
    </row>
    <row r="83" spans="1:10">
      <c r="A83" s="100">
        <v>45566</v>
      </c>
      <c r="B83" s="100" t="s">
        <v>265</v>
      </c>
      <c r="C83" s="3">
        <v>2024</v>
      </c>
      <c r="D83" s="3" t="s">
        <v>12</v>
      </c>
      <c r="E83" s="110" t="s">
        <v>40</v>
      </c>
      <c r="F83" s="103"/>
      <c r="G83" s="87">
        <v>1</v>
      </c>
      <c r="H83" s="4">
        <f>VLOOKUP(E83,TABLE!$B$1:$C$137,2,FALSE)</f>
        <v>53.57</v>
      </c>
      <c r="I83" s="4">
        <f t="shared" si="2"/>
        <v>53.57</v>
      </c>
      <c r="J83" s="3" t="s">
        <v>13</v>
      </c>
    </row>
    <row r="84" spans="1:10">
      <c r="A84" s="100">
        <v>45566</v>
      </c>
      <c r="B84" s="100" t="s">
        <v>265</v>
      </c>
      <c r="C84" s="3">
        <v>2024</v>
      </c>
      <c r="D84" s="3" t="s">
        <v>28</v>
      </c>
      <c r="E84" s="110" t="s">
        <v>80</v>
      </c>
      <c r="F84" s="103"/>
      <c r="G84" s="87">
        <v>3</v>
      </c>
      <c r="H84" s="4">
        <f>VLOOKUP(E84,TABLE!$B$1:$C$137,2,FALSE)</f>
        <v>11.39</v>
      </c>
      <c r="I84" s="4">
        <f t="shared" si="2"/>
        <v>34.17</v>
      </c>
      <c r="J84" s="3" t="s">
        <v>29</v>
      </c>
    </row>
    <row r="85" spans="1:10">
      <c r="A85" s="100">
        <v>45566</v>
      </c>
      <c r="B85" s="100" t="s">
        <v>265</v>
      </c>
      <c r="C85" s="3">
        <v>2024</v>
      </c>
      <c r="D85" s="3" t="s">
        <v>28</v>
      </c>
      <c r="E85" s="110" t="s">
        <v>27</v>
      </c>
      <c r="F85" s="103"/>
      <c r="G85" s="87">
        <v>43</v>
      </c>
      <c r="H85" s="4">
        <f>VLOOKUP(E85,TABLE!$B$1:$C$137,2,FALSE)</f>
        <v>11.59</v>
      </c>
      <c r="I85" s="4">
        <f t="shared" si="2"/>
        <v>498.37</v>
      </c>
      <c r="J85" s="3" t="s">
        <v>29</v>
      </c>
    </row>
    <row r="86" spans="1:10" ht="15.75">
      <c r="A86" s="100">
        <v>45597</v>
      </c>
      <c r="B86" s="100" t="s">
        <v>266</v>
      </c>
      <c r="C86" s="3">
        <v>2024</v>
      </c>
      <c r="D86" s="3" t="s">
        <v>7</v>
      </c>
      <c r="E86" s="91" t="s">
        <v>71</v>
      </c>
      <c r="F86" s="91"/>
      <c r="G86" s="92">
        <v>7</v>
      </c>
      <c r="H86" s="4">
        <f>VLOOKUP(E86,TABLE!$B$1:$C$137,2,FALSE)</f>
        <v>72.31</v>
      </c>
      <c r="I86" s="4">
        <f t="shared" si="2"/>
        <v>506.17</v>
      </c>
      <c r="J86" s="3" t="s">
        <v>13</v>
      </c>
    </row>
    <row r="87" spans="1:10" ht="15.75">
      <c r="A87" s="100">
        <v>45597</v>
      </c>
      <c r="B87" s="100" t="s">
        <v>266</v>
      </c>
      <c r="C87" s="3">
        <v>2024</v>
      </c>
      <c r="D87" s="3" t="s">
        <v>7</v>
      </c>
      <c r="E87" s="91" t="s">
        <v>71</v>
      </c>
      <c r="F87" s="91"/>
      <c r="G87" s="92">
        <v>6</v>
      </c>
      <c r="H87" s="4">
        <f>VLOOKUP(E87,TABLE!$B$1:$C$137,2,FALSE)</f>
        <v>72.31</v>
      </c>
      <c r="I87" s="4">
        <f t="shared" si="2"/>
        <v>433.86</v>
      </c>
      <c r="J87" s="3" t="s">
        <v>32</v>
      </c>
    </row>
    <row r="88" spans="1:10" ht="15.75">
      <c r="A88" s="100">
        <v>45597</v>
      </c>
      <c r="B88" s="100" t="s">
        <v>266</v>
      </c>
      <c r="C88" s="3">
        <v>2024</v>
      </c>
      <c r="D88" s="3" t="s">
        <v>7</v>
      </c>
      <c r="E88" s="91" t="s">
        <v>71</v>
      </c>
      <c r="F88" s="91"/>
      <c r="G88" s="92">
        <v>1</v>
      </c>
      <c r="H88" s="4">
        <f>VLOOKUP(E88,TABLE!$B$1:$C$137,2,FALSE)</f>
        <v>72.31</v>
      </c>
      <c r="I88" s="4">
        <f t="shared" si="2"/>
        <v>72.31</v>
      </c>
      <c r="J88" s="3" t="s">
        <v>32</v>
      </c>
    </row>
    <row r="89" spans="1:10" ht="15.75">
      <c r="A89" s="100">
        <v>45597</v>
      </c>
      <c r="B89" s="100" t="s">
        <v>266</v>
      </c>
      <c r="C89" s="3">
        <v>2024</v>
      </c>
      <c r="D89" s="3" t="s">
        <v>28</v>
      </c>
      <c r="E89" s="91" t="s">
        <v>71</v>
      </c>
      <c r="F89" s="91"/>
      <c r="G89" s="92">
        <v>2</v>
      </c>
      <c r="H89" s="4">
        <f>VLOOKUP(E89,TABLE!$B$1:$C$137,2,FALSE)</f>
        <v>72.31</v>
      </c>
      <c r="I89" s="4">
        <f t="shared" si="2"/>
        <v>144.62</v>
      </c>
      <c r="J89" s="3" t="s">
        <v>244</v>
      </c>
    </row>
    <row r="90" spans="1:10" ht="15.75">
      <c r="A90" s="100">
        <v>45597</v>
      </c>
      <c r="B90" s="100" t="s">
        <v>266</v>
      </c>
      <c r="C90" s="3">
        <v>2024</v>
      </c>
      <c r="D90" s="3" t="s">
        <v>7</v>
      </c>
      <c r="E90" s="91" t="s">
        <v>9</v>
      </c>
      <c r="F90" s="91"/>
      <c r="G90" s="92">
        <v>6</v>
      </c>
      <c r="H90" s="4">
        <f>VLOOKUP(E90,TABLE!$B$1:$C$137,2,FALSE)</f>
        <v>114.33</v>
      </c>
      <c r="I90" s="4">
        <f t="shared" si="2"/>
        <v>685.98</v>
      </c>
      <c r="J90" s="3" t="s">
        <v>13</v>
      </c>
    </row>
    <row r="91" spans="1:10" ht="15.75">
      <c r="A91" s="100">
        <v>45597</v>
      </c>
      <c r="B91" s="100" t="s">
        <v>266</v>
      </c>
      <c r="C91" s="3">
        <v>2024</v>
      </c>
      <c r="D91" s="3" t="s">
        <v>7</v>
      </c>
      <c r="E91" s="91" t="s">
        <v>4</v>
      </c>
      <c r="F91" s="91"/>
      <c r="G91" s="92">
        <v>1</v>
      </c>
      <c r="H91" s="4">
        <f>VLOOKUP(E91,TABLE!$B$1:$C$137,2,FALSE)</f>
        <v>94.25</v>
      </c>
      <c r="I91" s="4">
        <f t="shared" si="2"/>
        <v>94.25</v>
      </c>
      <c r="J91" s="3" t="s">
        <v>13</v>
      </c>
    </row>
    <row r="92" spans="1:10" ht="15.75">
      <c r="A92" s="100">
        <v>45597</v>
      </c>
      <c r="B92" s="100" t="s">
        <v>266</v>
      </c>
      <c r="C92" s="3">
        <v>2024</v>
      </c>
      <c r="D92" s="3" t="s">
        <v>7</v>
      </c>
      <c r="E92" s="91" t="s">
        <v>31</v>
      </c>
      <c r="F92" s="91"/>
      <c r="G92" s="92">
        <v>16</v>
      </c>
      <c r="H92" s="4">
        <f>VLOOKUP(E92,TABLE!$B$1:$C$137,2,FALSE)</f>
        <v>85.75</v>
      </c>
      <c r="I92" s="4">
        <f t="shared" ref="I92:I123" si="3">G92*H92</f>
        <v>1372</v>
      </c>
      <c r="J92" s="3" t="s">
        <v>13</v>
      </c>
    </row>
    <row r="93" spans="1:10" ht="15.75">
      <c r="A93" s="100">
        <v>45597</v>
      </c>
      <c r="B93" s="100" t="s">
        <v>266</v>
      </c>
      <c r="C93" s="3">
        <v>2024</v>
      </c>
      <c r="D93" s="3" t="s">
        <v>7</v>
      </c>
      <c r="E93" s="91" t="s">
        <v>3</v>
      </c>
      <c r="F93" s="91"/>
      <c r="G93" s="92">
        <v>2</v>
      </c>
      <c r="H93" s="4">
        <f>VLOOKUP(E93,TABLE!$B$1:$C$137,2,FALSE)</f>
        <v>85</v>
      </c>
      <c r="I93" s="4">
        <f t="shared" si="3"/>
        <v>170</v>
      </c>
      <c r="J93" s="3" t="s">
        <v>13</v>
      </c>
    </row>
    <row r="94" spans="1:10" ht="15.75">
      <c r="A94" s="100">
        <v>45597</v>
      </c>
      <c r="B94" s="100" t="s">
        <v>266</v>
      </c>
      <c r="C94" s="3">
        <v>2024</v>
      </c>
      <c r="D94" s="3" t="s">
        <v>7</v>
      </c>
      <c r="E94" s="91" t="s">
        <v>148</v>
      </c>
      <c r="F94" s="91"/>
      <c r="G94" s="92">
        <v>3</v>
      </c>
      <c r="H94" s="4">
        <f>VLOOKUP(E94,TABLE!$B$1:$C$137,2,FALSE)</f>
        <v>126.16</v>
      </c>
      <c r="I94" s="4">
        <f t="shared" si="3"/>
        <v>378.48</v>
      </c>
      <c r="J94" s="3" t="s">
        <v>13</v>
      </c>
    </row>
    <row r="95" spans="1:10" ht="15.75">
      <c r="A95" s="100">
        <v>45597</v>
      </c>
      <c r="B95" s="100" t="s">
        <v>266</v>
      </c>
      <c r="C95" s="3">
        <v>2024</v>
      </c>
      <c r="D95" s="3" t="s">
        <v>7</v>
      </c>
      <c r="E95" s="91" t="s">
        <v>136</v>
      </c>
      <c r="F95" s="91"/>
      <c r="G95" s="92">
        <v>3</v>
      </c>
      <c r="H95" s="4">
        <f>VLOOKUP(E95,TABLE!$B$1:$C$137,2,FALSE)</f>
        <v>181.83</v>
      </c>
      <c r="I95" s="4">
        <f t="shared" si="3"/>
        <v>545.49</v>
      </c>
      <c r="J95" s="3" t="s">
        <v>13</v>
      </c>
    </row>
    <row r="96" spans="1:10" ht="15.75">
      <c r="A96" s="100">
        <v>45597</v>
      </c>
      <c r="B96" s="100" t="s">
        <v>266</v>
      </c>
      <c r="C96" s="3">
        <v>2024</v>
      </c>
      <c r="D96" s="3" t="s">
        <v>7</v>
      </c>
      <c r="E96" s="91" t="s">
        <v>56</v>
      </c>
      <c r="F96" s="91"/>
      <c r="G96" s="92">
        <v>2</v>
      </c>
      <c r="H96" s="4">
        <f>VLOOKUP(E96,TABLE!$B$1:$C$137,2,FALSE)</f>
        <v>241.14</v>
      </c>
      <c r="I96" s="4">
        <f t="shared" si="3"/>
        <v>482.28</v>
      </c>
      <c r="J96" s="3" t="s">
        <v>179</v>
      </c>
    </row>
    <row r="97" spans="1:10" ht="15.75">
      <c r="A97" s="100">
        <v>45597</v>
      </c>
      <c r="B97" s="100" t="s">
        <v>266</v>
      </c>
      <c r="C97" s="3">
        <v>2024</v>
      </c>
      <c r="D97" s="3" t="s">
        <v>7</v>
      </c>
      <c r="E97" s="91" t="s">
        <v>36</v>
      </c>
      <c r="F97" s="91"/>
      <c r="G97" s="92">
        <v>4</v>
      </c>
      <c r="H97" s="4">
        <f>VLOOKUP(E97,TABLE!$B$1:$C$137,2,FALSE)</f>
        <v>358</v>
      </c>
      <c r="I97" s="4">
        <f t="shared" si="3"/>
        <v>1432</v>
      </c>
      <c r="J97" s="3" t="s">
        <v>179</v>
      </c>
    </row>
    <row r="98" spans="1:10" ht="15.75">
      <c r="A98" s="100">
        <v>45597</v>
      </c>
      <c r="B98" s="100" t="s">
        <v>266</v>
      </c>
      <c r="C98" s="3">
        <v>2024</v>
      </c>
      <c r="D98" s="3" t="s">
        <v>7</v>
      </c>
      <c r="E98" s="91" t="s">
        <v>31</v>
      </c>
      <c r="F98" s="91"/>
      <c r="G98" s="92">
        <v>1</v>
      </c>
      <c r="H98" s="4">
        <f>VLOOKUP(E98,TABLE!$B$1:$C$137,2,FALSE)</f>
        <v>85.75</v>
      </c>
      <c r="I98" s="4">
        <f t="shared" si="3"/>
        <v>85.75</v>
      </c>
      <c r="J98" s="3" t="s">
        <v>32</v>
      </c>
    </row>
    <row r="99" spans="1:10" ht="15.75">
      <c r="A99" s="100">
        <v>45597</v>
      </c>
      <c r="B99" s="100" t="s">
        <v>266</v>
      </c>
      <c r="C99" s="3">
        <v>2024</v>
      </c>
      <c r="D99" s="3" t="s">
        <v>7</v>
      </c>
      <c r="E99" s="91" t="s">
        <v>252</v>
      </c>
      <c r="F99" s="91"/>
      <c r="G99" s="92">
        <v>1</v>
      </c>
      <c r="H99" s="4">
        <f>VLOOKUP(E99,TABLE!$B$1:$C$137,2,FALSE)</f>
        <v>48.76</v>
      </c>
      <c r="I99" s="4">
        <f t="shared" si="3"/>
        <v>48.76</v>
      </c>
      <c r="J99" s="3" t="s">
        <v>242</v>
      </c>
    </row>
    <row r="100" spans="1:10" ht="15.75">
      <c r="A100" s="100">
        <v>45597</v>
      </c>
      <c r="B100" s="100" t="s">
        <v>266</v>
      </c>
      <c r="C100" s="3">
        <v>2024</v>
      </c>
      <c r="D100" s="3" t="s">
        <v>28</v>
      </c>
      <c r="E100" s="91" t="s">
        <v>56</v>
      </c>
      <c r="F100" s="91"/>
      <c r="G100" s="92">
        <v>6</v>
      </c>
      <c r="H100" s="4">
        <f>VLOOKUP(E100,TABLE!$B$1:$C$137,2,FALSE)</f>
        <v>241.14</v>
      </c>
      <c r="I100" s="4">
        <f t="shared" si="3"/>
        <v>1446.84</v>
      </c>
      <c r="J100" s="3" t="s">
        <v>244</v>
      </c>
    </row>
    <row r="101" spans="1:10" ht="15.75">
      <c r="A101" s="100">
        <v>45597</v>
      </c>
      <c r="B101" s="100" t="s">
        <v>266</v>
      </c>
      <c r="C101" s="3">
        <v>2024</v>
      </c>
      <c r="D101" s="3" t="s">
        <v>28</v>
      </c>
      <c r="E101" s="91" t="s">
        <v>36</v>
      </c>
      <c r="F101" s="91"/>
      <c r="G101" s="92">
        <v>1</v>
      </c>
      <c r="H101" s="4">
        <f>VLOOKUP(E101,TABLE!$B$1:$C$137,2,FALSE)</f>
        <v>358</v>
      </c>
      <c r="I101" s="4">
        <f t="shared" si="3"/>
        <v>358</v>
      </c>
      <c r="J101" s="3" t="s">
        <v>244</v>
      </c>
    </row>
    <row r="102" spans="1:10" ht="15.75">
      <c r="A102" s="100">
        <v>45597</v>
      </c>
      <c r="B102" s="100" t="s">
        <v>266</v>
      </c>
      <c r="C102" s="3">
        <v>2024</v>
      </c>
      <c r="D102" s="3" t="s">
        <v>28</v>
      </c>
      <c r="E102" s="91" t="s">
        <v>4</v>
      </c>
      <c r="F102" s="91"/>
      <c r="G102" s="92">
        <v>2</v>
      </c>
      <c r="H102" s="4">
        <f>VLOOKUP(E102,TABLE!$B$1:$C$137,2,FALSE)</f>
        <v>94.25</v>
      </c>
      <c r="I102" s="4">
        <f t="shared" si="3"/>
        <v>188.5</v>
      </c>
      <c r="J102" s="3" t="s">
        <v>244</v>
      </c>
    </row>
    <row r="103" spans="1:10" ht="15.75">
      <c r="A103" s="100">
        <v>45597</v>
      </c>
      <c r="B103" s="100" t="s">
        <v>266</v>
      </c>
      <c r="C103" s="3">
        <v>2024</v>
      </c>
      <c r="D103" s="3" t="s">
        <v>28</v>
      </c>
      <c r="E103" s="91" t="s">
        <v>3</v>
      </c>
      <c r="F103" s="91"/>
      <c r="G103" s="92">
        <v>7</v>
      </c>
      <c r="H103" s="4">
        <f>VLOOKUP(E103,TABLE!$B$1:$C$137,2,FALSE)</f>
        <v>85</v>
      </c>
      <c r="I103" s="4">
        <f t="shared" si="3"/>
        <v>595</v>
      </c>
      <c r="J103" s="3" t="s">
        <v>244</v>
      </c>
    </row>
    <row r="104" spans="1:10" ht="15.75">
      <c r="A104" s="100">
        <v>45597</v>
      </c>
      <c r="B104" s="100" t="s">
        <v>266</v>
      </c>
      <c r="C104" s="3">
        <v>2024</v>
      </c>
      <c r="D104" s="3" t="s">
        <v>28</v>
      </c>
      <c r="E104" s="91" t="s">
        <v>148</v>
      </c>
      <c r="F104" s="91"/>
      <c r="G104" s="92">
        <v>6</v>
      </c>
      <c r="H104" s="4">
        <f>VLOOKUP(E104,TABLE!$B$1:$C$137,2,FALSE)</f>
        <v>126.16</v>
      </c>
      <c r="I104" s="4">
        <f t="shared" si="3"/>
        <v>756.96</v>
      </c>
      <c r="J104" s="3" t="s">
        <v>244</v>
      </c>
    </row>
    <row r="105" spans="1:10" ht="15.75">
      <c r="A105" s="100">
        <v>45597</v>
      </c>
      <c r="B105" s="100" t="s">
        <v>266</v>
      </c>
      <c r="C105" s="3">
        <v>2024</v>
      </c>
      <c r="D105" s="3" t="s">
        <v>28</v>
      </c>
      <c r="E105" s="91" t="s">
        <v>136</v>
      </c>
      <c r="F105" s="91"/>
      <c r="G105" s="92">
        <v>3</v>
      </c>
      <c r="H105" s="4">
        <f>VLOOKUP(E105,TABLE!$B$1:$C$137,2,FALSE)</f>
        <v>181.83</v>
      </c>
      <c r="I105" s="4">
        <f t="shared" si="3"/>
        <v>545.49</v>
      </c>
      <c r="J105" s="3" t="s">
        <v>244</v>
      </c>
    </row>
    <row r="106" spans="1:10" ht="15.75">
      <c r="A106" s="100">
        <v>45597</v>
      </c>
      <c r="B106" s="100" t="s">
        <v>266</v>
      </c>
      <c r="C106" s="3">
        <v>2024</v>
      </c>
      <c r="D106" s="3" t="s">
        <v>12</v>
      </c>
      <c r="E106" s="110" t="s">
        <v>14</v>
      </c>
      <c r="F106" s="103"/>
      <c r="G106" s="92">
        <v>8</v>
      </c>
      <c r="H106" s="4">
        <f>VLOOKUP(E106,TABLE!$B$1:$C$137,2,FALSE)</f>
        <v>49.25</v>
      </c>
      <c r="I106" s="4">
        <f t="shared" si="3"/>
        <v>394</v>
      </c>
      <c r="J106" s="3" t="s">
        <v>15</v>
      </c>
    </row>
    <row r="107" spans="1:10" ht="15.75">
      <c r="A107" s="100">
        <v>45597</v>
      </c>
      <c r="B107" s="100" t="s">
        <v>266</v>
      </c>
      <c r="C107" s="3">
        <v>2024</v>
      </c>
      <c r="D107" s="3" t="s">
        <v>12</v>
      </c>
      <c r="E107" s="110" t="s">
        <v>11</v>
      </c>
      <c r="F107" s="103"/>
      <c r="G107" s="92">
        <v>5</v>
      </c>
      <c r="H107" s="4">
        <f>VLOOKUP(E107,TABLE!$B$1:$C$137,2,FALSE)</f>
        <v>32.32</v>
      </c>
      <c r="I107" s="4">
        <f t="shared" si="3"/>
        <v>161.6</v>
      </c>
      <c r="J107" s="3" t="s">
        <v>15</v>
      </c>
    </row>
    <row r="108" spans="1:10" ht="15.75">
      <c r="A108" s="100">
        <v>45597</v>
      </c>
      <c r="B108" s="100" t="s">
        <v>266</v>
      </c>
      <c r="C108" s="3">
        <v>2024</v>
      </c>
      <c r="D108" s="3" t="s">
        <v>12</v>
      </c>
      <c r="E108" s="110" t="s">
        <v>19</v>
      </c>
      <c r="F108" s="103"/>
      <c r="G108" s="92">
        <v>3</v>
      </c>
      <c r="H108" s="4">
        <f>VLOOKUP(E108,TABLE!$B$1:$C$137,2,FALSE)</f>
        <v>23.91</v>
      </c>
      <c r="I108" s="4">
        <f t="shared" si="3"/>
        <v>71.73</v>
      </c>
      <c r="J108" s="3" t="s">
        <v>15</v>
      </c>
    </row>
    <row r="109" spans="1:10" ht="15.75">
      <c r="A109" s="100">
        <v>45597</v>
      </c>
      <c r="B109" s="100" t="s">
        <v>266</v>
      </c>
      <c r="C109" s="3">
        <v>2024</v>
      </c>
      <c r="D109" s="3" t="s">
        <v>12</v>
      </c>
      <c r="E109" s="110" t="s">
        <v>38</v>
      </c>
      <c r="F109" s="103"/>
      <c r="G109" s="92">
        <v>6</v>
      </c>
      <c r="H109" s="4">
        <f>VLOOKUP(E109,TABLE!$B$1:$C$137,2,FALSE)</f>
        <v>27.14</v>
      </c>
      <c r="I109" s="4">
        <f t="shared" si="3"/>
        <v>162.84</v>
      </c>
      <c r="J109" s="3" t="s">
        <v>15</v>
      </c>
    </row>
    <row r="110" spans="1:10" ht="15.75">
      <c r="A110" s="100">
        <v>45597</v>
      </c>
      <c r="B110" s="100" t="s">
        <v>266</v>
      </c>
      <c r="C110" s="3">
        <v>2024</v>
      </c>
      <c r="D110" s="3" t="s">
        <v>12</v>
      </c>
      <c r="E110" s="110" t="s">
        <v>39</v>
      </c>
      <c r="F110" s="103"/>
      <c r="G110" s="92">
        <v>7</v>
      </c>
      <c r="H110" s="4">
        <f>VLOOKUP(E110,TABLE!$B$1:$C$137,2,FALSE)</f>
        <v>34.83</v>
      </c>
      <c r="I110" s="4">
        <f t="shared" si="3"/>
        <v>243.81</v>
      </c>
      <c r="J110" s="3" t="s">
        <v>15</v>
      </c>
    </row>
    <row r="111" spans="1:10" ht="15.75">
      <c r="A111" s="100">
        <v>45597</v>
      </c>
      <c r="B111" s="100" t="s">
        <v>266</v>
      </c>
      <c r="C111" s="3">
        <v>2024</v>
      </c>
      <c r="D111" s="3" t="s">
        <v>12</v>
      </c>
      <c r="E111" s="110" t="s">
        <v>20</v>
      </c>
      <c r="F111" s="103"/>
      <c r="G111" s="92">
        <v>5</v>
      </c>
      <c r="H111" s="4">
        <f>VLOOKUP(E111,TABLE!$B$1:$C$137,2,FALSE)</f>
        <v>38.270000000000003</v>
      </c>
      <c r="I111" s="4">
        <f t="shared" si="3"/>
        <v>191.35000000000002</v>
      </c>
      <c r="J111" s="3" t="s">
        <v>15</v>
      </c>
    </row>
    <row r="112" spans="1:10" ht="15.75">
      <c r="A112" s="100">
        <v>45597</v>
      </c>
      <c r="B112" s="100" t="s">
        <v>266</v>
      </c>
      <c r="C112" s="3">
        <v>2024</v>
      </c>
      <c r="D112" s="3" t="s">
        <v>12</v>
      </c>
      <c r="E112" s="110" t="s">
        <v>21</v>
      </c>
      <c r="F112" s="103"/>
      <c r="G112" s="92">
        <v>2</v>
      </c>
      <c r="H112" s="4">
        <f>VLOOKUP(E112,TABLE!$B$1:$C$137,2,FALSE)</f>
        <v>44.78</v>
      </c>
      <c r="I112" s="4">
        <f t="shared" si="3"/>
        <v>89.56</v>
      </c>
      <c r="J112" s="3" t="s">
        <v>15</v>
      </c>
    </row>
    <row r="113" spans="1:10" ht="15.75">
      <c r="A113" s="100">
        <v>45597</v>
      </c>
      <c r="B113" s="100" t="s">
        <v>266</v>
      </c>
      <c r="C113" s="3">
        <v>2024</v>
      </c>
      <c r="D113" s="3" t="s">
        <v>12</v>
      </c>
      <c r="E113" s="110" t="s">
        <v>77</v>
      </c>
      <c r="F113" s="103"/>
      <c r="G113" s="92">
        <v>2</v>
      </c>
      <c r="H113" s="4">
        <f>VLOOKUP(E113,TABLE!$B$1:$C$137,2,FALSE)</f>
        <v>38.94</v>
      </c>
      <c r="I113" s="4">
        <f t="shared" si="3"/>
        <v>77.88</v>
      </c>
      <c r="J113" s="3" t="s">
        <v>15</v>
      </c>
    </row>
    <row r="114" spans="1:10" ht="15.75">
      <c r="A114" s="100">
        <v>45597</v>
      </c>
      <c r="B114" s="100" t="s">
        <v>266</v>
      </c>
      <c r="C114" s="3">
        <v>2024</v>
      </c>
      <c r="D114" s="3" t="s">
        <v>12</v>
      </c>
      <c r="E114" s="110" t="s">
        <v>70</v>
      </c>
      <c r="F114" s="103"/>
      <c r="G114" s="92">
        <v>4</v>
      </c>
      <c r="H114" s="4">
        <f>VLOOKUP(E114,TABLE!$B$1:$C$137,2,FALSE)</f>
        <v>50.64</v>
      </c>
      <c r="I114" s="4">
        <f t="shared" si="3"/>
        <v>202.56</v>
      </c>
      <c r="J114" s="3" t="s">
        <v>15</v>
      </c>
    </row>
    <row r="115" spans="1:10" ht="15.75">
      <c r="A115" s="100">
        <v>45597</v>
      </c>
      <c r="B115" s="100" t="s">
        <v>266</v>
      </c>
      <c r="C115" s="3">
        <v>2024</v>
      </c>
      <c r="D115" s="3" t="s">
        <v>12</v>
      </c>
      <c r="E115" s="110" t="s">
        <v>23</v>
      </c>
      <c r="F115" s="103"/>
      <c r="G115" s="92">
        <v>1</v>
      </c>
      <c r="H115" s="4">
        <f>VLOOKUP(E115,TABLE!$B$1:$C$137,2,FALSE)</f>
        <v>64.459999999999994</v>
      </c>
      <c r="I115" s="4">
        <f t="shared" si="3"/>
        <v>64.459999999999994</v>
      </c>
      <c r="J115" s="3" t="s">
        <v>15</v>
      </c>
    </row>
    <row r="116" spans="1:10" ht="15.75">
      <c r="A116" s="100">
        <v>45597</v>
      </c>
      <c r="B116" s="100" t="s">
        <v>266</v>
      </c>
      <c r="C116" s="3">
        <v>2024</v>
      </c>
      <c r="D116" s="3" t="s">
        <v>12</v>
      </c>
      <c r="E116" s="110" t="s">
        <v>19</v>
      </c>
      <c r="F116" s="103"/>
      <c r="G116" s="92">
        <v>1</v>
      </c>
      <c r="H116" s="4">
        <f>VLOOKUP(E116,TABLE!$B$1:$C$137,2,FALSE)</f>
        <v>23.91</v>
      </c>
      <c r="I116" s="4">
        <f t="shared" si="3"/>
        <v>23.91</v>
      </c>
      <c r="J116" s="3" t="s">
        <v>13</v>
      </c>
    </row>
    <row r="117" spans="1:10" ht="15.75">
      <c r="A117" s="100">
        <v>45597</v>
      </c>
      <c r="B117" s="100" t="s">
        <v>266</v>
      </c>
      <c r="C117" s="3">
        <v>2024</v>
      </c>
      <c r="D117" s="3" t="s">
        <v>12</v>
      </c>
      <c r="E117" s="110" t="s">
        <v>21</v>
      </c>
      <c r="F117" s="103"/>
      <c r="G117" s="92">
        <v>4</v>
      </c>
      <c r="H117" s="4">
        <f>VLOOKUP(E117,TABLE!$B$1:$C$137,2,FALSE)</f>
        <v>44.78</v>
      </c>
      <c r="I117" s="4">
        <f t="shared" si="3"/>
        <v>179.12</v>
      </c>
      <c r="J117" s="3" t="s">
        <v>13</v>
      </c>
    </row>
    <row r="118" spans="1:10" ht="15.75">
      <c r="A118" s="100">
        <v>45597</v>
      </c>
      <c r="B118" s="100" t="s">
        <v>266</v>
      </c>
      <c r="C118" s="3">
        <v>2024</v>
      </c>
      <c r="D118" s="3" t="s">
        <v>28</v>
      </c>
      <c r="E118" s="110" t="s">
        <v>84</v>
      </c>
      <c r="F118" s="103"/>
      <c r="G118" s="92">
        <v>1</v>
      </c>
      <c r="H118" s="4">
        <f>VLOOKUP(E118,TABLE!$B$1:$C$137,2,FALSE)</f>
        <v>15.38</v>
      </c>
      <c r="I118" s="4">
        <f t="shared" si="3"/>
        <v>15.38</v>
      </c>
      <c r="J118" s="3" t="s">
        <v>29</v>
      </c>
    </row>
    <row r="119" spans="1:10" ht="15.75">
      <c r="A119" s="100">
        <v>45597</v>
      </c>
      <c r="B119" s="100" t="s">
        <v>266</v>
      </c>
      <c r="C119" s="3">
        <v>2024</v>
      </c>
      <c r="D119" s="3" t="s">
        <v>28</v>
      </c>
      <c r="E119" s="110" t="s">
        <v>27</v>
      </c>
      <c r="F119" s="103"/>
      <c r="G119" s="92">
        <v>2</v>
      </c>
      <c r="H119" s="4">
        <f>VLOOKUP(E119,TABLE!$B$1:$C$137,2,FALSE)</f>
        <v>11.59</v>
      </c>
      <c r="I119" s="4">
        <f t="shared" si="3"/>
        <v>23.18</v>
      </c>
      <c r="J119" s="3" t="s">
        <v>29</v>
      </c>
    </row>
    <row r="120" spans="1:10">
      <c r="A120" s="100">
        <v>45627</v>
      </c>
      <c r="B120" s="100" t="s">
        <v>266</v>
      </c>
      <c r="C120" s="3">
        <v>2024</v>
      </c>
      <c r="D120" s="3" t="s">
        <v>28</v>
      </c>
      <c r="E120" s="110" t="s">
        <v>90</v>
      </c>
      <c r="F120" s="103"/>
      <c r="G120" s="95">
        <v>1</v>
      </c>
      <c r="H120" s="4">
        <f>VLOOKUP(E120,TABLE!$B$1:$C$137,2,FALSE)</f>
        <v>40.71</v>
      </c>
      <c r="I120" s="4">
        <f t="shared" si="3"/>
        <v>40.71</v>
      </c>
      <c r="J120" s="3" t="s">
        <v>244</v>
      </c>
    </row>
    <row r="121" spans="1:10" ht="15.75">
      <c r="A121" s="100">
        <v>45627</v>
      </c>
      <c r="B121" s="100" t="s">
        <v>267</v>
      </c>
      <c r="C121" s="3">
        <v>2024</v>
      </c>
      <c r="D121" s="3" t="s">
        <v>7</v>
      </c>
      <c r="E121" s="91" t="s">
        <v>71</v>
      </c>
      <c r="F121" s="91"/>
      <c r="G121" s="92">
        <v>6</v>
      </c>
      <c r="H121" s="4">
        <f>VLOOKUP(E121,TABLE!$B$1:$C$137,2,FALSE)</f>
        <v>72.31</v>
      </c>
      <c r="I121" s="4">
        <f t="shared" si="3"/>
        <v>433.86</v>
      </c>
      <c r="J121" s="3" t="s">
        <v>13</v>
      </c>
    </row>
    <row r="122" spans="1:10" ht="15.75">
      <c r="A122" s="100">
        <v>45627</v>
      </c>
      <c r="B122" s="100" t="s">
        <v>267</v>
      </c>
      <c r="C122" s="3">
        <v>2024</v>
      </c>
      <c r="D122" s="3" t="s">
        <v>7</v>
      </c>
      <c r="E122" s="91" t="s">
        <v>9</v>
      </c>
      <c r="F122" s="91"/>
      <c r="G122" s="92">
        <v>5</v>
      </c>
      <c r="H122" s="4">
        <f>VLOOKUP(E122,TABLE!$B$1:$C$137,2,FALSE)</f>
        <v>114.33</v>
      </c>
      <c r="I122" s="4">
        <f t="shared" si="3"/>
        <v>571.65</v>
      </c>
      <c r="J122" s="3" t="s">
        <v>13</v>
      </c>
    </row>
    <row r="123" spans="1:10" ht="15.75">
      <c r="A123" s="100">
        <v>45627</v>
      </c>
      <c r="B123" s="100" t="s">
        <v>267</v>
      </c>
      <c r="C123" s="3">
        <v>2024</v>
      </c>
      <c r="D123" s="3" t="s">
        <v>7</v>
      </c>
      <c r="E123" s="91" t="s">
        <v>3</v>
      </c>
      <c r="F123" s="91"/>
      <c r="G123" s="92">
        <v>1</v>
      </c>
      <c r="H123" s="4">
        <f>VLOOKUP(E123,TABLE!$B$1:$C$137,2,FALSE)</f>
        <v>85</v>
      </c>
      <c r="I123" s="4">
        <f t="shared" si="3"/>
        <v>85</v>
      </c>
      <c r="J123" s="3" t="s">
        <v>13</v>
      </c>
    </row>
    <row r="124" spans="1:10" ht="15.75">
      <c r="A124" s="100">
        <v>45627</v>
      </c>
      <c r="B124" s="100" t="s">
        <v>267</v>
      </c>
      <c r="C124" s="3">
        <v>2024</v>
      </c>
      <c r="D124" s="3" t="s">
        <v>7</v>
      </c>
      <c r="E124" s="91" t="s">
        <v>148</v>
      </c>
      <c r="F124" s="91"/>
      <c r="G124" s="92">
        <v>5</v>
      </c>
      <c r="H124" s="4">
        <f>VLOOKUP(E124,TABLE!$B$1:$C$137,2,FALSE)</f>
        <v>126.16</v>
      </c>
      <c r="I124" s="4">
        <f t="shared" ref="I124:I155" si="4">G124*H124</f>
        <v>630.79999999999995</v>
      </c>
      <c r="J124" s="3" t="s">
        <v>13</v>
      </c>
    </row>
    <row r="125" spans="1:10" ht="15.75">
      <c r="A125" s="100">
        <v>45627</v>
      </c>
      <c r="B125" s="100" t="s">
        <v>267</v>
      </c>
      <c r="C125" s="3">
        <v>2024</v>
      </c>
      <c r="D125" s="3" t="s">
        <v>7</v>
      </c>
      <c r="E125" s="45" t="s">
        <v>247</v>
      </c>
      <c r="F125" s="45"/>
      <c r="G125" s="92">
        <v>14</v>
      </c>
      <c r="H125" s="4">
        <f>VLOOKUP(E125,TABLE!$B$1:$C$137,2,FALSE)</f>
        <v>30.18</v>
      </c>
      <c r="I125" s="4">
        <f t="shared" si="4"/>
        <v>422.52</v>
      </c>
      <c r="J125" s="3" t="s">
        <v>246</v>
      </c>
    </row>
    <row r="126" spans="1:10" ht="15.75">
      <c r="A126" s="100">
        <v>45627</v>
      </c>
      <c r="B126" s="100" t="s">
        <v>267</v>
      </c>
      <c r="C126" s="3">
        <v>2024</v>
      </c>
      <c r="D126" s="3" t="s">
        <v>28</v>
      </c>
      <c r="E126" s="91" t="s">
        <v>36</v>
      </c>
      <c r="F126" s="91"/>
      <c r="G126" s="92">
        <v>2</v>
      </c>
      <c r="H126" s="4">
        <f>VLOOKUP(E126,TABLE!$B$1:$C$137,2,FALSE)</f>
        <v>358</v>
      </c>
      <c r="I126" s="4">
        <f t="shared" si="4"/>
        <v>716</v>
      </c>
      <c r="J126" s="3" t="s">
        <v>244</v>
      </c>
    </row>
    <row r="127" spans="1:10" ht="15.75">
      <c r="A127" s="100">
        <v>45627</v>
      </c>
      <c r="B127" s="100" t="s">
        <v>267</v>
      </c>
      <c r="C127" s="3">
        <v>2024</v>
      </c>
      <c r="D127" s="3" t="s">
        <v>28</v>
      </c>
      <c r="E127" s="91" t="s">
        <v>4</v>
      </c>
      <c r="F127" s="91"/>
      <c r="G127" s="92">
        <v>1</v>
      </c>
      <c r="H127" s="4">
        <f>VLOOKUP(E127,TABLE!$B$1:$C$137,2,FALSE)</f>
        <v>94.25</v>
      </c>
      <c r="I127" s="4">
        <f t="shared" si="4"/>
        <v>94.25</v>
      </c>
      <c r="J127" s="3" t="s">
        <v>244</v>
      </c>
    </row>
    <row r="128" spans="1:10" ht="15.75">
      <c r="A128" s="100">
        <v>45627</v>
      </c>
      <c r="B128" s="100" t="s">
        <v>267</v>
      </c>
      <c r="C128" s="3">
        <v>2024</v>
      </c>
      <c r="D128" s="3" t="s">
        <v>28</v>
      </c>
      <c r="E128" s="91" t="s">
        <v>3</v>
      </c>
      <c r="F128" s="91"/>
      <c r="G128" s="92">
        <v>10</v>
      </c>
      <c r="H128" s="4">
        <f>VLOOKUP(E128,TABLE!$B$1:$C$137,2,FALSE)</f>
        <v>85</v>
      </c>
      <c r="I128" s="4">
        <f t="shared" si="4"/>
        <v>850</v>
      </c>
      <c r="J128" s="3" t="s">
        <v>244</v>
      </c>
    </row>
    <row r="129" spans="1:10" ht="15.75">
      <c r="A129" s="100">
        <v>45627</v>
      </c>
      <c r="B129" s="100" t="s">
        <v>267</v>
      </c>
      <c r="C129" s="3">
        <v>2024</v>
      </c>
      <c r="D129" s="3" t="s">
        <v>28</v>
      </c>
      <c r="E129" s="91" t="s">
        <v>88</v>
      </c>
      <c r="F129" s="91"/>
      <c r="G129" s="92">
        <v>2</v>
      </c>
      <c r="H129" s="4">
        <f>VLOOKUP(E129,TABLE!$B$1:$C$137,2,FALSE)</f>
        <v>386.36</v>
      </c>
      <c r="I129" s="4">
        <f t="shared" si="4"/>
        <v>772.72</v>
      </c>
      <c r="J129" s="3" t="s">
        <v>244</v>
      </c>
    </row>
    <row r="130" spans="1:10" ht="15.75">
      <c r="A130" s="100">
        <v>45627</v>
      </c>
      <c r="B130" s="100" t="s">
        <v>267</v>
      </c>
      <c r="C130" s="3">
        <v>2024</v>
      </c>
      <c r="D130" s="3" t="s">
        <v>7</v>
      </c>
      <c r="E130" s="91" t="s">
        <v>253</v>
      </c>
      <c r="F130" s="91"/>
      <c r="G130" s="92">
        <v>2</v>
      </c>
      <c r="H130" s="4">
        <f>VLOOKUP(E130,TABLE!$B$1:$C$137,2,FALSE)</f>
        <v>76.89</v>
      </c>
      <c r="I130" s="4">
        <f t="shared" si="4"/>
        <v>153.78</v>
      </c>
      <c r="J130" s="3" t="s">
        <v>243</v>
      </c>
    </row>
    <row r="131" spans="1:10" ht="15.75">
      <c r="A131" s="100">
        <v>45627</v>
      </c>
      <c r="B131" s="100" t="s">
        <v>267</v>
      </c>
      <c r="C131" s="3">
        <v>2024</v>
      </c>
      <c r="D131" s="3" t="s">
        <v>12</v>
      </c>
      <c r="E131" s="91" t="s">
        <v>14</v>
      </c>
      <c r="F131" s="91"/>
      <c r="G131" s="92">
        <v>3</v>
      </c>
      <c r="H131" s="4">
        <f>VLOOKUP(E131,TABLE!$B$1:$C$137,2,FALSE)</f>
        <v>49.25</v>
      </c>
      <c r="I131" s="4">
        <f t="shared" si="4"/>
        <v>147.75</v>
      </c>
      <c r="J131" s="3" t="s">
        <v>15</v>
      </c>
    </row>
    <row r="132" spans="1:10" ht="15.75">
      <c r="A132" s="100">
        <v>45627</v>
      </c>
      <c r="B132" s="100" t="s">
        <v>267</v>
      </c>
      <c r="C132" s="3">
        <v>2024</v>
      </c>
      <c r="D132" s="3" t="s">
        <v>12</v>
      </c>
      <c r="E132" s="91" t="s">
        <v>11</v>
      </c>
      <c r="F132" s="91"/>
      <c r="G132" s="92">
        <v>1</v>
      </c>
      <c r="H132" s="4">
        <f>VLOOKUP(E132,TABLE!$B$1:$C$137,2,FALSE)</f>
        <v>32.32</v>
      </c>
      <c r="I132" s="4">
        <f t="shared" si="4"/>
        <v>32.32</v>
      </c>
      <c r="J132" s="3" t="s">
        <v>15</v>
      </c>
    </row>
    <row r="133" spans="1:10" ht="15.75">
      <c r="A133" s="100">
        <v>45627</v>
      </c>
      <c r="B133" s="100" t="s">
        <v>267</v>
      </c>
      <c r="C133" s="3">
        <v>2024</v>
      </c>
      <c r="D133" s="3" t="s">
        <v>12</v>
      </c>
      <c r="E133" s="91" t="s">
        <v>19</v>
      </c>
      <c r="F133" s="91"/>
      <c r="G133" s="92">
        <v>1</v>
      </c>
      <c r="H133" s="4">
        <f>VLOOKUP(E133,TABLE!$B$1:$C$137,2,FALSE)</f>
        <v>23.91</v>
      </c>
      <c r="I133" s="4">
        <f t="shared" si="4"/>
        <v>23.91</v>
      </c>
      <c r="J133" s="3" t="s">
        <v>15</v>
      </c>
    </row>
    <row r="134" spans="1:10" ht="15.75">
      <c r="A134" s="100">
        <v>45627</v>
      </c>
      <c r="B134" s="100" t="s">
        <v>267</v>
      </c>
      <c r="C134" s="3">
        <v>2024</v>
      </c>
      <c r="D134" s="3" t="s">
        <v>12</v>
      </c>
      <c r="E134" s="91" t="s">
        <v>39</v>
      </c>
      <c r="F134" s="91"/>
      <c r="G134" s="92">
        <v>5</v>
      </c>
      <c r="H134" s="4">
        <f>VLOOKUP(E134,TABLE!$B$1:$C$137,2,FALSE)</f>
        <v>34.83</v>
      </c>
      <c r="I134" s="4">
        <f t="shared" si="4"/>
        <v>174.14999999999998</v>
      </c>
      <c r="J134" s="3" t="s">
        <v>15</v>
      </c>
    </row>
    <row r="135" spans="1:10" ht="15.75">
      <c r="A135" s="100">
        <v>45627</v>
      </c>
      <c r="B135" s="100" t="s">
        <v>267</v>
      </c>
      <c r="C135" s="3">
        <v>2024</v>
      </c>
      <c r="D135" s="3" t="s">
        <v>12</v>
      </c>
      <c r="E135" s="91" t="s">
        <v>20</v>
      </c>
      <c r="F135" s="91"/>
      <c r="G135" s="92">
        <v>7</v>
      </c>
      <c r="H135" s="4">
        <f>VLOOKUP(E135,TABLE!$B$1:$C$137,2,FALSE)</f>
        <v>38.270000000000003</v>
      </c>
      <c r="I135" s="4">
        <f t="shared" si="4"/>
        <v>267.89000000000004</v>
      </c>
      <c r="J135" s="3" t="s">
        <v>15</v>
      </c>
    </row>
    <row r="136" spans="1:10" ht="15.75">
      <c r="A136" s="100">
        <v>45627</v>
      </c>
      <c r="B136" s="100" t="s">
        <v>267</v>
      </c>
      <c r="C136" s="3">
        <v>2024</v>
      </c>
      <c r="D136" s="3" t="s">
        <v>12</v>
      </c>
      <c r="E136" s="91" t="s">
        <v>21</v>
      </c>
      <c r="F136" s="91"/>
      <c r="G136" s="92">
        <v>2</v>
      </c>
      <c r="H136" s="4">
        <f>VLOOKUP(E136,TABLE!$B$1:$C$137,2,FALSE)</f>
        <v>44.78</v>
      </c>
      <c r="I136" s="4">
        <f t="shared" si="4"/>
        <v>89.56</v>
      </c>
      <c r="J136" s="3" t="s">
        <v>15</v>
      </c>
    </row>
    <row r="137" spans="1:10" ht="15.75">
      <c r="A137" s="100">
        <v>45627</v>
      </c>
      <c r="B137" s="100" t="s">
        <v>267</v>
      </c>
      <c r="C137" s="3">
        <v>2024</v>
      </c>
      <c r="D137" s="3" t="s">
        <v>12</v>
      </c>
      <c r="E137" s="91" t="s">
        <v>24</v>
      </c>
      <c r="F137" s="91"/>
      <c r="G137" s="92">
        <v>1</v>
      </c>
      <c r="H137" s="4">
        <f>VLOOKUP(E137,TABLE!$B$1:$C$137,2,FALSE)</f>
        <v>73.53</v>
      </c>
      <c r="I137" s="4">
        <f t="shared" si="4"/>
        <v>73.53</v>
      </c>
      <c r="J137" s="3" t="s">
        <v>15</v>
      </c>
    </row>
    <row r="138" spans="1:10" ht="15.75">
      <c r="A138" s="100">
        <v>45627</v>
      </c>
      <c r="B138" s="100" t="s">
        <v>267</v>
      </c>
      <c r="C138" s="3">
        <v>2024</v>
      </c>
      <c r="D138" s="3" t="s">
        <v>28</v>
      </c>
      <c r="E138" s="91" t="s">
        <v>80</v>
      </c>
      <c r="F138" s="105"/>
      <c r="G138" s="93">
        <v>19</v>
      </c>
      <c r="H138" s="4">
        <f>VLOOKUP(E138,TABLE!$B$1:$C$137,2,FALSE)</f>
        <v>11.39</v>
      </c>
      <c r="I138" s="4">
        <f t="shared" si="4"/>
        <v>216.41000000000003</v>
      </c>
      <c r="J138" s="3" t="s">
        <v>29</v>
      </c>
    </row>
    <row r="139" spans="1:10" ht="15.75">
      <c r="A139" s="100">
        <v>45627</v>
      </c>
      <c r="B139" s="100" t="s">
        <v>267</v>
      </c>
      <c r="C139" s="3">
        <v>2024</v>
      </c>
      <c r="D139" s="3" t="s">
        <v>28</v>
      </c>
      <c r="E139" s="91" t="s">
        <v>27</v>
      </c>
      <c r="F139" s="105"/>
      <c r="G139" s="93">
        <v>31</v>
      </c>
      <c r="H139" s="4">
        <f>VLOOKUP(E139,TABLE!$B$1:$C$137,2,FALSE)</f>
        <v>11.59</v>
      </c>
      <c r="I139" s="4">
        <f t="shared" si="4"/>
        <v>359.29</v>
      </c>
      <c r="J139" s="3" t="s">
        <v>29</v>
      </c>
    </row>
    <row r="140" spans="1:10" ht="18">
      <c r="A140" s="100">
        <v>45658</v>
      </c>
      <c r="B140" s="100" t="s">
        <v>268</v>
      </c>
      <c r="C140" s="3">
        <v>2025</v>
      </c>
      <c r="D140" s="3" t="s">
        <v>7</v>
      </c>
      <c r="E140" s="96" t="s">
        <v>254</v>
      </c>
      <c r="F140" s="96"/>
      <c r="G140" s="90">
        <v>15</v>
      </c>
      <c r="H140" s="4">
        <f>VLOOKUP(E140,TABLE!$B$1:$C$137,2,FALSE)</f>
        <v>76.89</v>
      </c>
      <c r="I140" s="4">
        <f t="shared" si="4"/>
        <v>1153.3499999999999</v>
      </c>
      <c r="J140" s="3" t="s">
        <v>13</v>
      </c>
    </row>
    <row r="141" spans="1:10" ht="18">
      <c r="A141" s="100">
        <v>45658</v>
      </c>
      <c r="B141" s="100" t="s">
        <v>268</v>
      </c>
      <c r="C141" s="3">
        <v>2025</v>
      </c>
      <c r="D141" s="3" t="s">
        <v>7</v>
      </c>
      <c r="E141" s="97" t="s">
        <v>71</v>
      </c>
      <c r="F141" s="97"/>
      <c r="G141" s="90">
        <v>4</v>
      </c>
      <c r="H141" s="4">
        <f>VLOOKUP(E141,TABLE!$B$1:$C$137,2,FALSE)</f>
        <v>72.31</v>
      </c>
      <c r="I141" s="4">
        <f t="shared" si="4"/>
        <v>289.24</v>
      </c>
      <c r="J141" s="3" t="s">
        <v>13</v>
      </c>
    </row>
    <row r="142" spans="1:10" ht="18">
      <c r="A142" s="100">
        <v>45658</v>
      </c>
      <c r="B142" s="100" t="s">
        <v>268</v>
      </c>
      <c r="C142" s="3">
        <v>2025</v>
      </c>
      <c r="D142" s="3" t="s">
        <v>7</v>
      </c>
      <c r="E142" s="97" t="s">
        <v>4</v>
      </c>
      <c r="F142" s="97"/>
      <c r="G142" s="90">
        <v>2</v>
      </c>
      <c r="H142" s="4">
        <f>VLOOKUP(E142,TABLE!$B$1:$C$137,2,FALSE)</f>
        <v>94.25</v>
      </c>
      <c r="I142" s="4">
        <f t="shared" si="4"/>
        <v>188.5</v>
      </c>
      <c r="J142" s="3" t="s">
        <v>13</v>
      </c>
    </row>
    <row r="143" spans="1:10" ht="18">
      <c r="A143" s="100">
        <v>45658</v>
      </c>
      <c r="B143" s="100" t="s">
        <v>268</v>
      </c>
      <c r="C143" s="3">
        <v>2025</v>
      </c>
      <c r="D143" s="3" t="s">
        <v>7</v>
      </c>
      <c r="E143" s="97" t="s">
        <v>30</v>
      </c>
      <c r="F143" s="97"/>
      <c r="G143" s="90">
        <v>4</v>
      </c>
      <c r="H143" s="4">
        <f>VLOOKUP(E143,TABLE!$B$1:$C$137,2,FALSE)</f>
        <v>79.94</v>
      </c>
      <c r="I143" s="4">
        <f t="shared" si="4"/>
        <v>319.76</v>
      </c>
      <c r="J143" s="3" t="s">
        <v>13</v>
      </c>
    </row>
    <row r="144" spans="1:10" ht="18">
      <c r="A144" s="100">
        <v>45658</v>
      </c>
      <c r="B144" s="100" t="s">
        <v>268</v>
      </c>
      <c r="C144" s="3">
        <v>2025</v>
      </c>
      <c r="D144" s="3" t="s">
        <v>7</v>
      </c>
      <c r="E144" s="97" t="s">
        <v>3</v>
      </c>
      <c r="F144" s="97"/>
      <c r="G144" s="90">
        <v>1</v>
      </c>
      <c r="H144" s="4">
        <f>VLOOKUP(E144,TABLE!$B$1:$C$137,2,FALSE)</f>
        <v>85</v>
      </c>
      <c r="I144" s="4">
        <f t="shared" si="4"/>
        <v>85</v>
      </c>
      <c r="J144" s="3" t="s">
        <v>13</v>
      </c>
    </row>
    <row r="145" spans="1:10" ht="18">
      <c r="A145" s="100">
        <v>45658</v>
      </c>
      <c r="B145" s="100" t="s">
        <v>268</v>
      </c>
      <c r="C145" s="3">
        <v>2025</v>
      </c>
      <c r="D145" s="3" t="s">
        <v>7</v>
      </c>
      <c r="E145" s="97" t="s">
        <v>31</v>
      </c>
      <c r="F145" s="97"/>
      <c r="G145" s="90">
        <v>1</v>
      </c>
      <c r="H145" s="4">
        <f>VLOOKUP(E145,TABLE!$B$1:$C$137,2,FALSE)</f>
        <v>85.75</v>
      </c>
      <c r="I145" s="4">
        <f t="shared" si="4"/>
        <v>85.75</v>
      </c>
      <c r="J145" s="3" t="s">
        <v>15</v>
      </c>
    </row>
    <row r="146" spans="1:10" ht="18">
      <c r="A146" s="100">
        <v>45658</v>
      </c>
      <c r="B146" s="100" t="s">
        <v>268</v>
      </c>
      <c r="C146" s="3">
        <v>2025</v>
      </c>
      <c r="D146" s="3" t="s">
        <v>7</v>
      </c>
      <c r="E146" s="97" t="s">
        <v>71</v>
      </c>
      <c r="F146" s="97"/>
      <c r="G146" s="90">
        <v>3</v>
      </c>
      <c r="H146" s="4">
        <f>VLOOKUP(E146,TABLE!$B$1:$C$137,2,FALSE)</f>
        <v>72.31</v>
      </c>
      <c r="I146" s="4">
        <f t="shared" si="4"/>
        <v>216.93</v>
      </c>
      <c r="J146" s="3" t="s">
        <v>242</v>
      </c>
    </row>
    <row r="147" spans="1:10" ht="18">
      <c r="A147" s="100">
        <v>45658</v>
      </c>
      <c r="B147" s="100" t="s">
        <v>268</v>
      </c>
      <c r="C147" s="3">
        <v>2025</v>
      </c>
      <c r="D147" s="3" t="s">
        <v>7</v>
      </c>
      <c r="E147" s="45" t="s">
        <v>247</v>
      </c>
      <c r="F147" s="45"/>
      <c r="G147" s="90">
        <v>6</v>
      </c>
      <c r="H147" s="4">
        <f>VLOOKUP(E147,TABLE!$B$1:$C$137,2,FALSE)</f>
        <v>30.18</v>
      </c>
      <c r="I147" s="4">
        <f t="shared" si="4"/>
        <v>181.07999999999998</v>
      </c>
      <c r="J147" s="3" t="s">
        <v>246</v>
      </c>
    </row>
    <row r="148" spans="1:10" ht="18">
      <c r="A148" s="100">
        <v>45658</v>
      </c>
      <c r="B148" s="100" t="s">
        <v>268</v>
      </c>
      <c r="C148" s="3">
        <v>2025</v>
      </c>
      <c r="D148" s="3" t="s">
        <v>28</v>
      </c>
      <c r="E148" s="97" t="s">
        <v>56</v>
      </c>
      <c r="F148" s="97"/>
      <c r="G148" s="90">
        <v>1</v>
      </c>
      <c r="H148" s="4">
        <f>VLOOKUP(E148,TABLE!$B$1:$C$137,2,FALSE)</f>
        <v>241.14</v>
      </c>
      <c r="I148" s="4">
        <f t="shared" si="4"/>
        <v>241.14</v>
      </c>
      <c r="J148" s="3" t="s">
        <v>244</v>
      </c>
    </row>
    <row r="149" spans="1:10" ht="18">
      <c r="A149" s="100">
        <v>45658</v>
      </c>
      <c r="B149" s="100" t="s">
        <v>268</v>
      </c>
      <c r="C149" s="3">
        <v>2025</v>
      </c>
      <c r="D149" s="3" t="s">
        <v>28</v>
      </c>
      <c r="E149" s="97" t="s">
        <v>3</v>
      </c>
      <c r="F149" s="97"/>
      <c r="G149" s="90">
        <v>6</v>
      </c>
      <c r="H149" s="4">
        <f>VLOOKUP(E149,TABLE!$B$1:$C$137,2,FALSE)</f>
        <v>85</v>
      </c>
      <c r="I149" s="4">
        <f t="shared" si="4"/>
        <v>510</v>
      </c>
      <c r="J149" s="3" t="s">
        <v>244</v>
      </c>
    </row>
    <row r="150" spans="1:10" ht="18">
      <c r="A150" s="100">
        <v>45658</v>
      </c>
      <c r="B150" s="100" t="s">
        <v>268</v>
      </c>
      <c r="C150" s="3">
        <v>2025</v>
      </c>
      <c r="D150" s="3" t="s">
        <v>12</v>
      </c>
      <c r="E150" s="110" t="s">
        <v>14</v>
      </c>
      <c r="F150" s="103"/>
      <c r="G150" s="90">
        <v>6</v>
      </c>
      <c r="H150" s="4">
        <f>VLOOKUP(E150,TABLE!$B$1:$C$137,2,FALSE)</f>
        <v>49.25</v>
      </c>
      <c r="I150" s="4">
        <f t="shared" si="4"/>
        <v>295.5</v>
      </c>
      <c r="J150" s="3" t="s">
        <v>15</v>
      </c>
    </row>
    <row r="151" spans="1:10" ht="18">
      <c r="A151" s="100">
        <v>45658</v>
      </c>
      <c r="B151" s="100" t="s">
        <v>268</v>
      </c>
      <c r="C151" s="3">
        <v>2025</v>
      </c>
      <c r="D151" s="3" t="s">
        <v>12</v>
      </c>
      <c r="E151" s="110" t="s">
        <v>11</v>
      </c>
      <c r="F151" s="103"/>
      <c r="G151" s="90">
        <v>7</v>
      </c>
      <c r="H151" s="4">
        <f>VLOOKUP(E151,TABLE!$B$1:$C$137,2,FALSE)</f>
        <v>32.32</v>
      </c>
      <c r="I151" s="4">
        <f t="shared" si="4"/>
        <v>226.24</v>
      </c>
      <c r="J151" s="3" t="s">
        <v>15</v>
      </c>
    </row>
    <row r="152" spans="1:10" ht="18">
      <c r="A152" s="100">
        <v>45658</v>
      </c>
      <c r="B152" s="100" t="s">
        <v>268</v>
      </c>
      <c r="C152" s="3">
        <v>2025</v>
      </c>
      <c r="D152" s="3" t="s">
        <v>12</v>
      </c>
      <c r="E152" s="110" t="s">
        <v>17</v>
      </c>
      <c r="F152" s="103"/>
      <c r="G152" s="90">
        <v>1</v>
      </c>
      <c r="H152" s="4">
        <f>VLOOKUP(E152,TABLE!$B$1:$C$137,2,FALSE)</f>
        <v>17.8</v>
      </c>
      <c r="I152" s="4">
        <f t="shared" si="4"/>
        <v>17.8</v>
      </c>
      <c r="J152" s="3" t="s">
        <v>15</v>
      </c>
    </row>
    <row r="153" spans="1:10" ht="18">
      <c r="A153" s="100">
        <v>45658</v>
      </c>
      <c r="B153" s="100" t="s">
        <v>268</v>
      </c>
      <c r="C153" s="3">
        <v>2025</v>
      </c>
      <c r="D153" s="3" t="s">
        <v>12</v>
      </c>
      <c r="E153" s="110" t="s">
        <v>19</v>
      </c>
      <c r="F153" s="103"/>
      <c r="G153" s="90">
        <v>2</v>
      </c>
      <c r="H153" s="4">
        <f>VLOOKUP(E153,TABLE!$B$1:$C$137,2,FALSE)</f>
        <v>23.91</v>
      </c>
      <c r="I153" s="4">
        <f t="shared" si="4"/>
        <v>47.82</v>
      </c>
      <c r="J153" s="3" t="s">
        <v>15</v>
      </c>
    </row>
    <row r="154" spans="1:10" ht="18">
      <c r="A154" s="100">
        <v>45658</v>
      </c>
      <c r="B154" s="100" t="s">
        <v>268</v>
      </c>
      <c r="C154" s="3">
        <v>2025</v>
      </c>
      <c r="D154" s="3" t="s">
        <v>12</v>
      </c>
      <c r="E154" s="97" t="s">
        <v>39</v>
      </c>
      <c r="F154" s="97"/>
      <c r="G154" s="90">
        <v>11</v>
      </c>
      <c r="H154" s="4">
        <f>VLOOKUP(E154,TABLE!$B$1:$C$137,2,FALSE)</f>
        <v>34.83</v>
      </c>
      <c r="I154" s="4">
        <f t="shared" si="4"/>
        <v>383.13</v>
      </c>
      <c r="J154" s="3" t="s">
        <v>15</v>
      </c>
    </row>
    <row r="155" spans="1:10" ht="18">
      <c r="A155" s="100">
        <v>45658</v>
      </c>
      <c r="B155" s="100" t="s">
        <v>268</v>
      </c>
      <c r="C155" s="3">
        <v>2025</v>
      </c>
      <c r="D155" s="3" t="s">
        <v>12</v>
      </c>
      <c r="E155" s="97" t="s">
        <v>20</v>
      </c>
      <c r="F155" s="97"/>
      <c r="G155" s="90">
        <v>5</v>
      </c>
      <c r="H155" s="4">
        <f>VLOOKUP(E155,TABLE!$B$1:$C$137,2,FALSE)</f>
        <v>38.270000000000003</v>
      </c>
      <c r="I155" s="4">
        <f t="shared" si="4"/>
        <v>191.35000000000002</v>
      </c>
      <c r="J155" s="3" t="s">
        <v>15</v>
      </c>
    </row>
    <row r="156" spans="1:10" ht="18">
      <c r="A156" s="100">
        <v>45658</v>
      </c>
      <c r="B156" s="100" t="s">
        <v>268</v>
      </c>
      <c r="C156" s="3">
        <v>2025</v>
      </c>
      <c r="D156" s="3" t="s">
        <v>12</v>
      </c>
      <c r="E156" s="97" t="s">
        <v>70</v>
      </c>
      <c r="F156" s="97"/>
      <c r="G156" s="90">
        <v>1</v>
      </c>
      <c r="H156" s="4">
        <f>VLOOKUP(E156,TABLE!$B$1:$C$137,2,FALSE)</f>
        <v>50.64</v>
      </c>
      <c r="I156" s="4">
        <f t="shared" ref="I156:I184" si="5">G156*H156</f>
        <v>50.64</v>
      </c>
      <c r="J156" s="3" t="s">
        <v>15</v>
      </c>
    </row>
    <row r="157" spans="1:10" ht="18">
      <c r="A157" s="100">
        <v>45658</v>
      </c>
      <c r="B157" s="100" t="s">
        <v>268</v>
      </c>
      <c r="C157" s="3">
        <v>2025</v>
      </c>
      <c r="D157" s="3" t="s">
        <v>28</v>
      </c>
      <c r="E157" s="97" t="s">
        <v>113</v>
      </c>
      <c r="F157" s="97"/>
      <c r="G157" s="90">
        <v>39</v>
      </c>
      <c r="H157" s="4">
        <f>VLOOKUP(E157,TABLE!$B$1:$C$137,2,FALSE)</f>
        <v>52.3</v>
      </c>
      <c r="I157" s="4">
        <f t="shared" si="5"/>
        <v>2039.6999999999998</v>
      </c>
      <c r="J157" s="3" t="s">
        <v>246</v>
      </c>
    </row>
    <row r="158" spans="1:10" ht="18">
      <c r="A158" s="100">
        <v>45658</v>
      </c>
      <c r="B158" s="100" t="s">
        <v>268</v>
      </c>
      <c r="C158" s="3">
        <v>2025</v>
      </c>
      <c r="D158" s="3" t="s">
        <v>28</v>
      </c>
      <c r="E158" s="97" t="s">
        <v>27</v>
      </c>
      <c r="F158" s="97"/>
      <c r="G158" s="90">
        <v>7</v>
      </c>
      <c r="H158" s="4">
        <f>VLOOKUP(E158,TABLE!$B$1:$C$137,2,FALSE)</f>
        <v>11.59</v>
      </c>
      <c r="I158" s="4">
        <f t="shared" si="5"/>
        <v>81.13</v>
      </c>
      <c r="J158" s="3" t="s">
        <v>29</v>
      </c>
    </row>
    <row r="159" spans="1:10" ht="18">
      <c r="A159" s="100">
        <v>45658</v>
      </c>
      <c r="B159" s="100" t="s">
        <v>268</v>
      </c>
      <c r="C159" s="3">
        <v>2025</v>
      </c>
      <c r="D159" s="3" t="s">
        <v>28</v>
      </c>
      <c r="E159" s="97" t="s">
        <v>96</v>
      </c>
      <c r="F159" s="97"/>
      <c r="G159" s="90">
        <v>3</v>
      </c>
      <c r="H159" s="4">
        <f>VLOOKUP(E159,TABLE!$B$1:$C$137,2,FALSE)</f>
        <v>36.9</v>
      </c>
      <c r="I159" s="4">
        <f t="shared" si="5"/>
        <v>110.69999999999999</v>
      </c>
      <c r="J159" s="3" t="s">
        <v>29</v>
      </c>
    </row>
    <row r="160" spans="1:10">
      <c r="A160" s="100">
        <v>45658</v>
      </c>
      <c r="B160" s="100" t="s">
        <v>268</v>
      </c>
      <c r="C160" s="3">
        <v>2025</v>
      </c>
      <c r="D160" s="3" t="s">
        <v>28</v>
      </c>
      <c r="E160" s="94" t="s">
        <v>96</v>
      </c>
      <c r="F160" s="94"/>
      <c r="G160" s="93">
        <v>1</v>
      </c>
      <c r="H160" s="4">
        <f>VLOOKUP(E160,TABLE!$B$1:$C$137,2,FALSE)</f>
        <v>36.9</v>
      </c>
      <c r="I160" s="4">
        <f t="shared" si="5"/>
        <v>36.9</v>
      </c>
      <c r="J160" s="3" t="s">
        <v>244</v>
      </c>
    </row>
    <row r="161" spans="1:10" ht="18">
      <c r="A161" s="100">
        <v>45689</v>
      </c>
      <c r="B161" s="100" t="s">
        <v>269</v>
      </c>
      <c r="C161" s="3">
        <v>2025</v>
      </c>
      <c r="D161" s="3" t="s">
        <v>7</v>
      </c>
      <c r="E161" s="96" t="s">
        <v>254</v>
      </c>
      <c r="F161" s="96"/>
      <c r="G161" s="90">
        <v>1</v>
      </c>
      <c r="H161" s="4">
        <f>VLOOKUP(E161,TABLE!$B$1:$C$137,2,FALSE)</f>
        <v>76.89</v>
      </c>
      <c r="I161" s="4">
        <f t="shared" si="5"/>
        <v>76.89</v>
      </c>
      <c r="J161" s="3" t="s">
        <v>15</v>
      </c>
    </row>
    <row r="162" spans="1:10" ht="18">
      <c r="A162" s="100">
        <v>45689</v>
      </c>
      <c r="B162" s="100" t="s">
        <v>269</v>
      </c>
      <c r="C162" s="3">
        <v>2025</v>
      </c>
      <c r="D162" s="3" t="s">
        <v>7</v>
      </c>
      <c r="E162" s="97" t="s">
        <v>71</v>
      </c>
      <c r="F162" s="97"/>
      <c r="G162" s="90">
        <v>1</v>
      </c>
      <c r="H162" s="4">
        <f>VLOOKUP(E162,TABLE!$B$1:$C$137,2,FALSE)</f>
        <v>72.31</v>
      </c>
      <c r="I162" s="4">
        <f t="shared" si="5"/>
        <v>72.31</v>
      </c>
      <c r="J162" s="3" t="s">
        <v>15</v>
      </c>
    </row>
    <row r="163" spans="1:10" ht="18">
      <c r="A163" s="100">
        <v>45689</v>
      </c>
      <c r="B163" s="100" t="s">
        <v>269</v>
      </c>
      <c r="C163" s="3">
        <v>2025</v>
      </c>
      <c r="D163" s="3" t="s">
        <v>7</v>
      </c>
      <c r="E163" s="97" t="s">
        <v>81</v>
      </c>
      <c r="F163" s="97"/>
      <c r="G163" s="90">
        <v>3</v>
      </c>
      <c r="H163" s="4">
        <f>VLOOKUP(E163,TABLE!$B$1:$C$137,2,FALSE)</f>
        <v>358.99</v>
      </c>
      <c r="I163" s="4">
        <f t="shared" si="5"/>
        <v>1076.97</v>
      </c>
      <c r="J163" s="3" t="s">
        <v>179</v>
      </c>
    </row>
    <row r="164" spans="1:10" ht="18">
      <c r="A164" s="100">
        <v>45689</v>
      </c>
      <c r="B164" s="100" t="s">
        <v>269</v>
      </c>
      <c r="C164" s="3">
        <v>2025</v>
      </c>
      <c r="D164" s="3" t="s">
        <v>7</v>
      </c>
      <c r="E164" s="45" t="s">
        <v>247</v>
      </c>
      <c r="F164" s="45"/>
      <c r="G164" s="90">
        <v>10</v>
      </c>
      <c r="H164" s="4">
        <f>VLOOKUP(E164,TABLE!$B$1:$C$137,2,FALSE)</f>
        <v>30.18</v>
      </c>
      <c r="I164" s="4">
        <f t="shared" si="5"/>
        <v>301.8</v>
      </c>
      <c r="J164" s="3" t="s">
        <v>246</v>
      </c>
    </row>
    <row r="165" spans="1:10" ht="18">
      <c r="A165" s="100">
        <v>45689</v>
      </c>
      <c r="B165" s="100" t="s">
        <v>269</v>
      </c>
      <c r="C165" s="3">
        <v>2025</v>
      </c>
      <c r="D165" s="3" t="s">
        <v>28</v>
      </c>
      <c r="E165" s="97" t="s">
        <v>133</v>
      </c>
      <c r="F165" s="97"/>
      <c r="G165" s="90">
        <v>7</v>
      </c>
      <c r="H165" s="4">
        <f>VLOOKUP(E165,TABLE!$B$1:$C$137,2,FALSE)</f>
        <v>114.8</v>
      </c>
      <c r="I165" s="4">
        <f t="shared" si="5"/>
        <v>803.6</v>
      </c>
      <c r="J165" s="3" t="s">
        <v>246</v>
      </c>
    </row>
    <row r="166" spans="1:10" ht="18">
      <c r="A166" s="100">
        <v>45689</v>
      </c>
      <c r="B166" s="100" t="s">
        <v>269</v>
      </c>
      <c r="C166" s="3">
        <v>2025</v>
      </c>
      <c r="D166" s="3" t="s">
        <v>28</v>
      </c>
      <c r="E166" s="97" t="s">
        <v>71</v>
      </c>
      <c r="F166" s="97"/>
      <c r="G166" s="90">
        <v>1</v>
      </c>
      <c r="H166" s="4">
        <f>VLOOKUP(E166,TABLE!$B$1:$C$137,2,FALSE)</f>
        <v>72.31</v>
      </c>
      <c r="I166" s="4">
        <f t="shared" si="5"/>
        <v>72.31</v>
      </c>
      <c r="J166" s="3" t="s">
        <v>246</v>
      </c>
    </row>
    <row r="167" spans="1:10" ht="18">
      <c r="A167" s="100">
        <v>45689</v>
      </c>
      <c r="B167" s="100" t="s">
        <v>269</v>
      </c>
      <c r="C167" s="3">
        <v>2025</v>
      </c>
      <c r="D167" s="3" t="s">
        <v>28</v>
      </c>
      <c r="E167" s="97" t="s">
        <v>3</v>
      </c>
      <c r="F167" s="97"/>
      <c r="G167" s="90">
        <v>1</v>
      </c>
      <c r="H167" s="4">
        <f>VLOOKUP(E167,TABLE!$B$1:$C$137,2,FALSE)</f>
        <v>85</v>
      </c>
      <c r="I167" s="4">
        <f t="shared" si="5"/>
        <v>85</v>
      </c>
      <c r="J167" s="3" t="s">
        <v>246</v>
      </c>
    </row>
    <row r="168" spans="1:10" ht="18">
      <c r="A168" s="100">
        <v>45689</v>
      </c>
      <c r="B168" s="100" t="s">
        <v>269</v>
      </c>
      <c r="C168" s="3">
        <v>2025</v>
      </c>
      <c r="D168" s="3" t="s">
        <v>28</v>
      </c>
      <c r="E168" s="97" t="s">
        <v>71</v>
      </c>
      <c r="F168" s="97"/>
      <c r="G168" s="90">
        <v>1</v>
      </c>
      <c r="H168" s="4">
        <f>VLOOKUP(E168,TABLE!$B$1:$C$137,2,FALSE)</f>
        <v>72.31</v>
      </c>
      <c r="I168" s="4">
        <f t="shared" si="5"/>
        <v>72.31</v>
      </c>
      <c r="J168" s="3" t="s">
        <v>244</v>
      </c>
    </row>
    <row r="169" spans="1:10" ht="18">
      <c r="A169" s="100">
        <v>45689</v>
      </c>
      <c r="B169" s="100" t="s">
        <v>269</v>
      </c>
      <c r="C169" s="3">
        <v>2025</v>
      </c>
      <c r="D169" s="3" t="s">
        <v>28</v>
      </c>
      <c r="E169" s="97" t="s">
        <v>9</v>
      </c>
      <c r="F169" s="97"/>
      <c r="G169" s="90">
        <v>4</v>
      </c>
      <c r="H169" s="4">
        <f>VLOOKUP(E169,TABLE!$B$1:$C$137,2,FALSE)</f>
        <v>114.33</v>
      </c>
      <c r="I169" s="4">
        <f t="shared" si="5"/>
        <v>457.32</v>
      </c>
      <c r="J169" s="3" t="s">
        <v>244</v>
      </c>
    </row>
    <row r="170" spans="1:10" ht="18">
      <c r="A170" s="100">
        <v>45689</v>
      </c>
      <c r="B170" s="100" t="s">
        <v>269</v>
      </c>
      <c r="C170" s="3">
        <v>2025</v>
      </c>
      <c r="D170" s="3" t="s">
        <v>28</v>
      </c>
      <c r="E170" s="97" t="s">
        <v>36</v>
      </c>
      <c r="F170" s="97"/>
      <c r="G170" s="90">
        <v>1</v>
      </c>
      <c r="H170" s="4">
        <f>VLOOKUP(E170,TABLE!$B$1:$C$137,2,FALSE)</f>
        <v>358</v>
      </c>
      <c r="I170" s="4">
        <f t="shared" si="5"/>
        <v>358</v>
      </c>
      <c r="J170" s="3" t="s">
        <v>244</v>
      </c>
    </row>
    <row r="171" spans="1:10" ht="18">
      <c r="A171" s="100">
        <v>45689</v>
      </c>
      <c r="B171" s="100" t="s">
        <v>269</v>
      </c>
      <c r="C171" s="3">
        <v>2025</v>
      </c>
      <c r="D171" s="3" t="s">
        <v>28</v>
      </c>
      <c r="E171" s="97" t="s">
        <v>4</v>
      </c>
      <c r="F171" s="97"/>
      <c r="G171" s="90">
        <v>2</v>
      </c>
      <c r="H171" s="4">
        <f>VLOOKUP(E171,TABLE!$B$1:$C$137,2,FALSE)</f>
        <v>94.25</v>
      </c>
      <c r="I171" s="4">
        <f t="shared" si="5"/>
        <v>188.5</v>
      </c>
      <c r="J171" s="3" t="s">
        <v>244</v>
      </c>
    </row>
    <row r="172" spans="1:10" ht="18">
      <c r="A172" s="100">
        <v>45689</v>
      </c>
      <c r="B172" s="100" t="s">
        <v>269</v>
      </c>
      <c r="C172" s="3">
        <v>2025</v>
      </c>
      <c r="D172" s="3" t="s">
        <v>28</v>
      </c>
      <c r="E172" s="97" t="s">
        <v>3</v>
      </c>
      <c r="F172" s="97"/>
      <c r="G172" s="90">
        <v>7</v>
      </c>
      <c r="H172" s="4">
        <f>VLOOKUP(E172,TABLE!$B$1:$C$137,2,FALSE)</f>
        <v>85</v>
      </c>
      <c r="I172" s="4">
        <f t="shared" si="5"/>
        <v>595</v>
      </c>
      <c r="J172" s="3" t="s">
        <v>244</v>
      </c>
    </row>
    <row r="173" spans="1:10" ht="18">
      <c r="A173" s="100">
        <v>45689</v>
      </c>
      <c r="B173" s="100" t="s">
        <v>269</v>
      </c>
      <c r="C173" s="3">
        <v>2025</v>
      </c>
      <c r="D173" s="3" t="s">
        <v>28</v>
      </c>
      <c r="E173" s="97" t="s">
        <v>74</v>
      </c>
      <c r="F173" s="97"/>
      <c r="G173" s="90">
        <v>1</v>
      </c>
      <c r="H173" s="4">
        <f>VLOOKUP(E173,TABLE!$B$1:$C$137,2,FALSE)</f>
        <v>306.75</v>
      </c>
      <c r="I173" s="4">
        <f t="shared" si="5"/>
        <v>306.75</v>
      </c>
      <c r="J173" s="3" t="s">
        <v>244</v>
      </c>
    </row>
    <row r="174" spans="1:10" ht="18">
      <c r="A174" s="100">
        <v>45689</v>
      </c>
      <c r="B174" s="100" t="s">
        <v>269</v>
      </c>
      <c r="C174" s="3">
        <v>2025</v>
      </c>
      <c r="D174" s="3" t="s">
        <v>12</v>
      </c>
      <c r="E174" s="97" t="s">
        <v>11</v>
      </c>
      <c r="F174" s="97"/>
      <c r="G174" s="90">
        <v>14</v>
      </c>
      <c r="H174" s="4">
        <f>VLOOKUP(E174,TABLE!$B$1:$C$137,2,FALSE)</f>
        <v>32.32</v>
      </c>
      <c r="I174" s="4">
        <f t="shared" si="5"/>
        <v>452.48</v>
      </c>
      <c r="J174" s="3" t="s">
        <v>15</v>
      </c>
    </row>
    <row r="175" spans="1:10" ht="18">
      <c r="A175" s="100">
        <v>45689</v>
      </c>
      <c r="B175" s="100" t="s">
        <v>269</v>
      </c>
      <c r="C175" s="3">
        <v>2025</v>
      </c>
      <c r="D175" s="3" t="s">
        <v>12</v>
      </c>
      <c r="E175" s="97" t="s">
        <v>37</v>
      </c>
      <c r="F175" s="97"/>
      <c r="G175" s="90">
        <v>1</v>
      </c>
      <c r="H175" s="4">
        <f>VLOOKUP(E175,TABLE!$B$1:$C$137,2,FALSE)</f>
        <v>16.079999999999998</v>
      </c>
      <c r="I175" s="4">
        <f t="shared" si="5"/>
        <v>16.079999999999998</v>
      </c>
      <c r="J175" s="3" t="s">
        <v>15</v>
      </c>
    </row>
    <row r="176" spans="1:10" ht="18">
      <c r="A176" s="100">
        <v>45689</v>
      </c>
      <c r="B176" s="100" t="s">
        <v>269</v>
      </c>
      <c r="C176" s="3">
        <v>2025</v>
      </c>
      <c r="D176" s="3" t="s">
        <v>12</v>
      </c>
      <c r="E176" s="97" t="s">
        <v>20</v>
      </c>
      <c r="F176" s="97"/>
      <c r="G176" s="90">
        <v>4</v>
      </c>
      <c r="H176" s="4">
        <f>VLOOKUP(E176,TABLE!$B$1:$C$137,2,FALSE)</f>
        <v>38.270000000000003</v>
      </c>
      <c r="I176" s="4">
        <f t="shared" si="5"/>
        <v>153.08000000000001</v>
      </c>
      <c r="J176" s="3" t="s">
        <v>15</v>
      </c>
    </row>
    <row r="177" spans="1:10" ht="18">
      <c r="A177" s="100">
        <v>45689</v>
      </c>
      <c r="B177" s="100" t="s">
        <v>269</v>
      </c>
      <c r="C177" s="3">
        <v>2025</v>
      </c>
      <c r="D177" s="3" t="s">
        <v>12</v>
      </c>
      <c r="E177" s="97" t="s">
        <v>21</v>
      </c>
      <c r="F177" s="97"/>
      <c r="G177" s="90">
        <v>1</v>
      </c>
      <c r="H177" s="4">
        <f>VLOOKUP(E177,TABLE!$B$1:$C$137,2,FALSE)</f>
        <v>44.78</v>
      </c>
      <c r="I177" s="4">
        <f t="shared" si="5"/>
        <v>44.78</v>
      </c>
      <c r="J177" s="3" t="s">
        <v>15</v>
      </c>
    </row>
    <row r="178" spans="1:10" ht="18">
      <c r="A178" s="100">
        <v>45689</v>
      </c>
      <c r="B178" s="100" t="s">
        <v>269</v>
      </c>
      <c r="C178" s="3">
        <v>2025</v>
      </c>
      <c r="D178" s="3" t="s">
        <v>12</v>
      </c>
      <c r="E178" s="97" t="s">
        <v>77</v>
      </c>
      <c r="F178" s="97"/>
      <c r="G178" s="90">
        <v>1</v>
      </c>
      <c r="H178" s="4">
        <f>VLOOKUP(E178,TABLE!$B$1:$C$137,2,FALSE)</f>
        <v>38.94</v>
      </c>
      <c r="I178" s="4">
        <f t="shared" si="5"/>
        <v>38.94</v>
      </c>
      <c r="J178" s="3" t="s">
        <v>15</v>
      </c>
    </row>
    <row r="179" spans="1:10" ht="18">
      <c r="A179" s="100">
        <v>45689</v>
      </c>
      <c r="B179" s="100" t="s">
        <v>269</v>
      </c>
      <c r="C179" s="3">
        <v>2025</v>
      </c>
      <c r="D179" s="3" t="s">
        <v>12</v>
      </c>
      <c r="E179" s="97" t="s">
        <v>70</v>
      </c>
      <c r="F179" s="97"/>
      <c r="G179" s="90">
        <v>2</v>
      </c>
      <c r="H179" s="4">
        <f>VLOOKUP(E179,TABLE!$B$1:$C$137,2,FALSE)</f>
        <v>50.64</v>
      </c>
      <c r="I179" s="4">
        <f t="shared" si="5"/>
        <v>101.28</v>
      </c>
      <c r="J179" s="3" t="s">
        <v>15</v>
      </c>
    </row>
    <row r="180" spans="1:10" ht="18">
      <c r="A180" s="100">
        <v>45689</v>
      </c>
      <c r="B180" s="100" t="s">
        <v>269</v>
      </c>
      <c r="C180" s="3">
        <v>2025</v>
      </c>
      <c r="D180" s="3" t="s">
        <v>12</v>
      </c>
      <c r="E180" s="97" t="s">
        <v>40</v>
      </c>
      <c r="F180" s="97"/>
      <c r="G180" s="90">
        <v>3</v>
      </c>
      <c r="H180" s="4">
        <f>VLOOKUP(E180,TABLE!$B$1:$C$137,2,FALSE)</f>
        <v>53.57</v>
      </c>
      <c r="I180" s="4">
        <f t="shared" si="5"/>
        <v>160.71</v>
      </c>
      <c r="J180" s="3" t="s">
        <v>15</v>
      </c>
    </row>
    <row r="181" spans="1:10" ht="18">
      <c r="A181" s="100">
        <v>45689</v>
      </c>
      <c r="B181" s="100" t="s">
        <v>269</v>
      </c>
      <c r="C181" s="3">
        <v>2025</v>
      </c>
      <c r="D181" s="3" t="s">
        <v>12</v>
      </c>
      <c r="E181" s="97" t="s">
        <v>22</v>
      </c>
      <c r="F181" s="97"/>
      <c r="G181" s="90">
        <v>1</v>
      </c>
      <c r="H181" s="4">
        <f>VLOOKUP(E181,TABLE!$B$1:$C$137,2,FALSE)</f>
        <v>55.28</v>
      </c>
      <c r="I181" s="4">
        <f t="shared" si="5"/>
        <v>55.28</v>
      </c>
      <c r="J181" s="3" t="s">
        <v>15</v>
      </c>
    </row>
    <row r="182" spans="1:10" ht="18">
      <c r="A182" s="100">
        <v>45689</v>
      </c>
      <c r="B182" s="100" t="s">
        <v>269</v>
      </c>
      <c r="C182" s="3">
        <v>2025</v>
      </c>
      <c r="D182" s="3" t="s">
        <v>12</v>
      </c>
      <c r="E182" s="97" t="s">
        <v>49</v>
      </c>
      <c r="F182" s="97"/>
      <c r="G182" s="90">
        <v>1</v>
      </c>
      <c r="H182" s="4">
        <f>VLOOKUP(E182,TABLE!$B$1:$C$137,2,FALSE)</f>
        <v>82.69</v>
      </c>
      <c r="I182" s="4">
        <f t="shared" si="5"/>
        <v>82.69</v>
      </c>
      <c r="J182" s="3" t="s">
        <v>15</v>
      </c>
    </row>
    <row r="183" spans="1:10" ht="18">
      <c r="A183" s="100">
        <v>45689</v>
      </c>
      <c r="B183" s="100" t="s">
        <v>269</v>
      </c>
      <c r="C183" s="3">
        <v>2025</v>
      </c>
      <c r="D183" s="3" t="s">
        <v>28</v>
      </c>
      <c r="E183" s="97" t="s">
        <v>27</v>
      </c>
      <c r="F183" s="97"/>
      <c r="G183" s="90">
        <v>18</v>
      </c>
      <c r="H183" s="4">
        <f>VLOOKUP(E183,TABLE!$B$1:$C$137,2,FALSE)</f>
        <v>11.59</v>
      </c>
      <c r="I183" s="4">
        <f t="shared" si="5"/>
        <v>208.62</v>
      </c>
      <c r="J183" s="3" t="s">
        <v>29</v>
      </c>
    </row>
    <row r="184" spans="1:10" ht="18">
      <c r="A184" s="100">
        <v>45689</v>
      </c>
      <c r="B184" s="100" t="s">
        <v>269</v>
      </c>
      <c r="C184" s="3">
        <v>2025</v>
      </c>
      <c r="D184" s="3" t="s">
        <v>28</v>
      </c>
      <c r="E184" s="97" t="s">
        <v>96</v>
      </c>
      <c r="F184" s="97"/>
      <c r="G184" s="90">
        <v>2</v>
      </c>
      <c r="H184" s="4">
        <f>VLOOKUP(E184,TABLE!$B$1:$C$137,2,FALSE)</f>
        <v>36.9</v>
      </c>
      <c r="I184" s="4">
        <f t="shared" si="5"/>
        <v>73.8</v>
      </c>
      <c r="J184" s="3" t="s">
        <v>29</v>
      </c>
    </row>
    <row r="185" spans="1:10" ht="18">
      <c r="A185" s="100">
        <v>45689</v>
      </c>
      <c r="B185" s="100" t="s">
        <v>269</v>
      </c>
      <c r="C185" s="3">
        <v>2025</v>
      </c>
      <c r="D185" s="3" t="s">
        <v>7</v>
      </c>
      <c r="E185" s="96" t="s">
        <v>254</v>
      </c>
      <c r="F185" s="96"/>
      <c r="G185" s="90">
        <v>292</v>
      </c>
      <c r="H185" s="4">
        <f>VLOOKUP(E185,TABLE!$B$1:$C$137,2,FALSE)</f>
        <v>76.89</v>
      </c>
      <c r="I185" s="4">
        <f t="shared" ref="I185:I189" si="6">G185*H185</f>
        <v>22451.88</v>
      </c>
      <c r="J185" s="3" t="s">
        <v>13</v>
      </c>
    </row>
    <row r="186" spans="1:10" ht="18">
      <c r="A186" s="100">
        <v>45689</v>
      </c>
      <c r="B186" s="100" t="s">
        <v>269</v>
      </c>
      <c r="C186" s="3">
        <v>2025</v>
      </c>
      <c r="D186" s="3" t="s">
        <v>7</v>
      </c>
      <c r="E186" s="97" t="s">
        <v>71</v>
      </c>
      <c r="F186" s="97"/>
      <c r="G186" s="90">
        <v>5</v>
      </c>
      <c r="H186" s="4">
        <f>VLOOKUP(E186,TABLE!$B$1:$C$137,2,FALSE)</f>
        <v>72.31</v>
      </c>
      <c r="I186" s="4">
        <f t="shared" si="6"/>
        <v>361.55</v>
      </c>
      <c r="J186" s="3" t="s">
        <v>13</v>
      </c>
    </row>
    <row r="187" spans="1:10" ht="18">
      <c r="A187" s="100">
        <v>45689</v>
      </c>
      <c r="B187" s="100" t="s">
        <v>269</v>
      </c>
      <c r="C187" s="3">
        <v>2025</v>
      </c>
      <c r="D187" s="3" t="s">
        <v>7</v>
      </c>
      <c r="E187" s="97" t="s">
        <v>9</v>
      </c>
      <c r="F187" s="97"/>
      <c r="G187" s="90">
        <v>6</v>
      </c>
      <c r="H187" s="4">
        <f>VLOOKUP(E187,TABLE!$B$1:$C$137,2,FALSE)</f>
        <v>114.33</v>
      </c>
      <c r="I187" s="4">
        <f t="shared" si="6"/>
        <v>685.98</v>
      </c>
      <c r="J187" s="3" t="s">
        <v>13</v>
      </c>
    </row>
    <row r="188" spans="1:10" ht="18">
      <c r="A188" s="100">
        <v>45689</v>
      </c>
      <c r="B188" s="100" t="s">
        <v>269</v>
      </c>
      <c r="C188" s="3">
        <v>2025</v>
      </c>
      <c r="D188" s="3" t="s">
        <v>7</v>
      </c>
      <c r="E188" s="97" t="s">
        <v>31</v>
      </c>
      <c r="F188" s="97"/>
      <c r="G188" s="90">
        <v>10</v>
      </c>
      <c r="H188" s="4">
        <f>VLOOKUP(E188,TABLE!$B$1:$C$137,2,FALSE)</f>
        <v>85.75</v>
      </c>
      <c r="I188" s="4">
        <f t="shared" si="6"/>
        <v>857.5</v>
      </c>
      <c r="J188" s="3" t="s">
        <v>13</v>
      </c>
    </row>
    <row r="189" spans="1:10" ht="18">
      <c r="A189" s="100">
        <v>45689</v>
      </c>
      <c r="B189" s="100" t="s">
        <v>269</v>
      </c>
      <c r="C189" s="3">
        <v>2025</v>
      </c>
      <c r="D189" s="3" t="s">
        <v>7</v>
      </c>
      <c r="E189" s="97" t="s">
        <v>136</v>
      </c>
      <c r="F189" s="97"/>
      <c r="G189" s="90">
        <v>1</v>
      </c>
      <c r="H189" s="4">
        <f>VLOOKUP(E189,TABLE!$B$1:$C$137,2,FALSE)</f>
        <v>181.83</v>
      </c>
      <c r="I189" s="4">
        <f t="shared" si="6"/>
        <v>181.83</v>
      </c>
      <c r="J189" s="3" t="s">
        <v>13</v>
      </c>
    </row>
    <row r="190" spans="1:10" ht="18">
      <c r="A190" s="100">
        <v>45717</v>
      </c>
      <c r="B190" s="100" t="s">
        <v>270</v>
      </c>
      <c r="C190" s="3">
        <v>2025</v>
      </c>
      <c r="D190" s="3" t="s">
        <v>7</v>
      </c>
      <c r="E190" s="96" t="s">
        <v>254</v>
      </c>
      <c r="F190" s="96"/>
      <c r="G190" s="90">
        <v>14</v>
      </c>
      <c r="H190" s="4">
        <f>VLOOKUP(E190,TABLE!$B$1:$C$137,2,FALSE)</f>
        <v>76.89</v>
      </c>
      <c r="I190" s="4">
        <f t="shared" ref="I190:I221" si="7">G190*H190</f>
        <v>1076.46</v>
      </c>
      <c r="J190" s="3" t="s">
        <v>13</v>
      </c>
    </row>
    <row r="191" spans="1:10" ht="18">
      <c r="A191" s="100">
        <v>45717</v>
      </c>
      <c r="B191" s="100" t="s">
        <v>270</v>
      </c>
      <c r="C191" s="3">
        <v>2025</v>
      </c>
      <c r="D191" s="3" t="s">
        <v>7</v>
      </c>
      <c r="E191" s="97" t="s">
        <v>71</v>
      </c>
      <c r="F191" s="97"/>
      <c r="G191" s="90">
        <v>10</v>
      </c>
      <c r="H191" s="4">
        <f>VLOOKUP(E191,TABLE!$B$1:$C$137,2,FALSE)</f>
        <v>72.31</v>
      </c>
      <c r="I191" s="4">
        <f t="shared" si="7"/>
        <v>723.1</v>
      </c>
      <c r="J191" s="3" t="s">
        <v>13</v>
      </c>
    </row>
    <row r="192" spans="1:10" ht="18">
      <c r="A192" s="100">
        <v>45717</v>
      </c>
      <c r="B192" s="100" t="s">
        <v>270</v>
      </c>
      <c r="C192" s="3">
        <v>2025</v>
      </c>
      <c r="D192" s="3" t="s">
        <v>7</v>
      </c>
      <c r="E192" s="97" t="s">
        <v>9</v>
      </c>
      <c r="F192" s="97"/>
      <c r="G192" s="90">
        <v>5</v>
      </c>
      <c r="H192" s="4">
        <f>VLOOKUP(E192,TABLE!$B$1:$C$137,2,FALSE)</f>
        <v>114.33</v>
      </c>
      <c r="I192" s="4">
        <f t="shared" si="7"/>
        <v>571.65</v>
      </c>
      <c r="J192" s="3" t="s">
        <v>13</v>
      </c>
    </row>
    <row r="193" spans="1:10" ht="18">
      <c r="A193" s="100">
        <v>45717</v>
      </c>
      <c r="B193" s="100" t="s">
        <v>270</v>
      </c>
      <c r="C193" s="3">
        <v>2025</v>
      </c>
      <c r="D193" s="3" t="s">
        <v>7</v>
      </c>
      <c r="E193" s="97" t="s">
        <v>36</v>
      </c>
      <c r="F193" s="97"/>
      <c r="G193" s="90">
        <v>1</v>
      </c>
      <c r="H193" s="4">
        <f>VLOOKUP(E193,TABLE!$B$1:$C$137,2,FALSE)</f>
        <v>358</v>
      </c>
      <c r="I193" s="4">
        <f t="shared" si="7"/>
        <v>358</v>
      </c>
      <c r="J193" s="3" t="s">
        <v>13</v>
      </c>
    </row>
    <row r="194" spans="1:10" ht="18">
      <c r="A194" s="100">
        <v>45717</v>
      </c>
      <c r="B194" s="100" t="s">
        <v>270</v>
      </c>
      <c r="C194" s="3">
        <v>2025</v>
      </c>
      <c r="D194" s="3" t="s">
        <v>7</v>
      </c>
      <c r="E194" s="97" t="s">
        <v>4</v>
      </c>
      <c r="F194" s="97"/>
      <c r="G194" s="90">
        <v>1</v>
      </c>
      <c r="H194" s="4">
        <f>VLOOKUP(E194,TABLE!$B$1:$C$137,2,FALSE)</f>
        <v>94.25</v>
      </c>
      <c r="I194" s="4">
        <f t="shared" si="7"/>
        <v>94.25</v>
      </c>
      <c r="J194" s="3" t="s">
        <v>13</v>
      </c>
    </row>
    <row r="195" spans="1:10" ht="18">
      <c r="A195" s="100">
        <v>45717</v>
      </c>
      <c r="B195" s="100" t="s">
        <v>270</v>
      </c>
      <c r="C195" s="3">
        <v>2025</v>
      </c>
      <c r="D195" s="3" t="s">
        <v>7</v>
      </c>
      <c r="E195" s="97" t="s">
        <v>31</v>
      </c>
      <c r="F195" s="97"/>
      <c r="G195" s="90">
        <v>4</v>
      </c>
      <c r="H195" s="4">
        <f>VLOOKUP(E195,TABLE!$B$1:$C$137,2,FALSE)</f>
        <v>85.75</v>
      </c>
      <c r="I195" s="4">
        <f t="shared" si="7"/>
        <v>343</v>
      </c>
      <c r="J195" s="3" t="s">
        <v>13</v>
      </c>
    </row>
    <row r="196" spans="1:10" ht="18">
      <c r="A196" s="100">
        <v>45717</v>
      </c>
      <c r="B196" s="100" t="s">
        <v>270</v>
      </c>
      <c r="C196" s="3">
        <v>2025</v>
      </c>
      <c r="D196" s="3" t="s">
        <v>7</v>
      </c>
      <c r="E196" s="97" t="s">
        <v>3</v>
      </c>
      <c r="F196" s="97"/>
      <c r="G196" s="90">
        <v>4</v>
      </c>
      <c r="H196" s="4">
        <f>VLOOKUP(E196,TABLE!$B$1:$C$137,2,FALSE)</f>
        <v>85</v>
      </c>
      <c r="I196" s="4">
        <f t="shared" si="7"/>
        <v>340</v>
      </c>
      <c r="J196" s="3" t="s">
        <v>13</v>
      </c>
    </row>
    <row r="197" spans="1:10" ht="18">
      <c r="A197" s="100">
        <v>45717</v>
      </c>
      <c r="B197" s="100" t="s">
        <v>270</v>
      </c>
      <c r="C197" s="3">
        <v>2025</v>
      </c>
      <c r="D197" s="3" t="s">
        <v>7</v>
      </c>
      <c r="E197" s="96" t="s">
        <v>254</v>
      </c>
      <c r="F197" s="96"/>
      <c r="G197" s="90">
        <v>4</v>
      </c>
      <c r="H197" s="4">
        <f>VLOOKUP(E197,TABLE!$B$1:$C$137,2,FALSE)</f>
        <v>76.89</v>
      </c>
      <c r="I197" s="4">
        <f t="shared" si="7"/>
        <v>307.56</v>
      </c>
      <c r="J197" s="3" t="s">
        <v>179</v>
      </c>
    </row>
    <row r="198" spans="1:10" ht="18">
      <c r="A198" s="100">
        <v>45717</v>
      </c>
      <c r="B198" s="100" t="s">
        <v>270</v>
      </c>
      <c r="C198" s="3">
        <v>2025</v>
      </c>
      <c r="D198" s="3" t="s">
        <v>7</v>
      </c>
      <c r="E198" s="97" t="s">
        <v>71</v>
      </c>
      <c r="F198" s="97"/>
      <c r="G198" s="90">
        <v>3</v>
      </c>
      <c r="H198" s="4">
        <f>VLOOKUP(E198,TABLE!$B$1:$C$137,2,FALSE)</f>
        <v>72.31</v>
      </c>
      <c r="I198" s="4">
        <f t="shared" si="7"/>
        <v>216.93</v>
      </c>
      <c r="J198" s="3" t="s">
        <v>179</v>
      </c>
    </row>
    <row r="199" spans="1:10" ht="18">
      <c r="A199" s="100">
        <v>45717</v>
      </c>
      <c r="B199" s="100" t="s">
        <v>270</v>
      </c>
      <c r="C199" s="3">
        <v>2025</v>
      </c>
      <c r="D199" s="3" t="s">
        <v>7</v>
      </c>
      <c r="E199" s="97" t="s">
        <v>36</v>
      </c>
      <c r="F199" s="97"/>
      <c r="G199" s="90">
        <v>1</v>
      </c>
      <c r="H199" s="4">
        <f>VLOOKUP(E199,TABLE!$B$1:$C$137,2,FALSE)</f>
        <v>358</v>
      </c>
      <c r="I199" s="4">
        <f t="shared" si="7"/>
        <v>358</v>
      </c>
      <c r="J199" s="3" t="s">
        <v>179</v>
      </c>
    </row>
    <row r="200" spans="1:10" ht="18">
      <c r="A200" s="100">
        <v>45717</v>
      </c>
      <c r="B200" s="100" t="s">
        <v>270</v>
      </c>
      <c r="C200" s="3">
        <v>2025</v>
      </c>
      <c r="D200" s="3" t="s">
        <v>7</v>
      </c>
      <c r="E200" s="97" t="s">
        <v>71</v>
      </c>
      <c r="F200" s="97"/>
      <c r="G200" s="90">
        <v>6</v>
      </c>
      <c r="H200" s="4">
        <f>VLOOKUP(E200,TABLE!$B$1:$C$137,2,FALSE)</f>
        <v>72.31</v>
      </c>
      <c r="I200" s="4">
        <f t="shared" si="7"/>
        <v>433.86</v>
      </c>
      <c r="J200" s="3" t="s">
        <v>32</v>
      </c>
    </row>
    <row r="201" spans="1:10" ht="18">
      <c r="A201" s="100">
        <v>45717</v>
      </c>
      <c r="B201" s="100" t="s">
        <v>270</v>
      </c>
      <c r="C201" s="3">
        <v>2025</v>
      </c>
      <c r="D201" s="3" t="s">
        <v>28</v>
      </c>
      <c r="E201" s="97" t="s">
        <v>9</v>
      </c>
      <c r="F201" s="97"/>
      <c r="G201" s="90">
        <v>3</v>
      </c>
      <c r="H201" s="4">
        <f>VLOOKUP(E201,TABLE!$B$1:$C$137,2,FALSE)</f>
        <v>114.33</v>
      </c>
      <c r="I201" s="4">
        <f t="shared" si="7"/>
        <v>342.99</v>
      </c>
      <c r="J201" s="3" t="s">
        <v>244</v>
      </c>
    </row>
    <row r="202" spans="1:10" ht="18">
      <c r="A202" s="100">
        <v>45717</v>
      </c>
      <c r="B202" s="100" t="s">
        <v>270</v>
      </c>
      <c r="C202" s="3">
        <v>2025</v>
      </c>
      <c r="D202" s="3" t="s">
        <v>28</v>
      </c>
      <c r="E202" s="97" t="s">
        <v>36</v>
      </c>
      <c r="F202" s="97"/>
      <c r="G202" s="90">
        <v>4</v>
      </c>
      <c r="H202" s="4">
        <f>VLOOKUP(E202,TABLE!$B$1:$C$137,2,FALSE)</f>
        <v>358</v>
      </c>
      <c r="I202" s="4">
        <f t="shared" si="7"/>
        <v>1432</v>
      </c>
      <c r="J202" s="3" t="s">
        <v>244</v>
      </c>
    </row>
    <row r="203" spans="1:10" ht="18">
      <c r="A203" s="100">
        <v>45717</v>
      </c>
      <c r="B203" s="100" t="s">
        <v>270</v>
      </c>
      <c r="C203" s="3">
        <v>2025</v>
      </c>
      <c r="D203" s="3" t="s">
        <v>28</v>
      </c>
      <c r="E203" s="97" t="s">
        <v>4</v>
      </c>
      <c r="F203" s="97"/>
      <c r="G203" s="90">
        <v>2</v>
      </c>
      <c r="H203" s="4">
        <f>VLOOKUP(E203,TABLE!$B$1:$C$137,2,FALSE)</f>
        <v>94.25</v>
      </c>
      <c r="I203" s="4">
        <f t="shared" si="7"/>
        <v>188.5</v>
      </c>
      <c r="J203" s="3" t="s">
        <v>244</v>
      </c>
    </row>
    <row r="204" spans="1:10" ht="18">
      <c r="A204" s="100">
        <v>45717</v>
      </c>
      <c r="B204" s="100" t="s">
        <v>270</v>
      </c>
      <c r="C204" s="3">
        <v>2025</v>
      </c>
      <c r="D204" s="3" t="s">
        <v>28</v>
      </c>
      <c r="E204" s="97" t="s">
        <v>73</v>
      </c>
      <c r="F204" s="97"/>
      <c r="G204" s="90">
        <v>2</v>
      </c>
      <c r="H204" s="4">
        <f>VLOOKUP(E204,TABLE!$B$1:$C$137,2,FALSE)</f>
        <v>97.22</v>
      </c>
      <c r="I204" s="4">
        <f t="shared" si="7"/>
        <v>194.44</v>
      </c>
      <c r="J204" s="3" t="s">
        <v>244</v>
      </c>
    </row>
    <row r="205" spans="1:10" ht="18">
      <c r="A205" s="100">
        <v>45717</v>
      </c>
      <c r="B205" s="100" t="s">
        <v>270</v>
      </c>
      <c r="C205" s="3">
        <v>2025</v>
      </c>
      <c r="D205" s="3" t="s">
        <v>28</v>
      </c>
      <c r="E205" s="97" t="s">
        <v>3</v>
      </c>
      <c r="F205" s="97"/>
      <c r="G205" s="90">
        <v>5</v>
      </c>
      <c r="H205" s="4">
        <f>VLOOKUP(E205,TABLE!$B$1:$C$137,2,FALSE)</f>
        <v>85</v>
      </c>
      <c r="I205" s="4">
        <f t="shared" si="7"/>
        <v>425</v>
      </c>
      <c r="J205" s="3" t="s">
        <v>244</v>
      </c>
    </row>
    <row r="206" spans="1:10" ht="18">
      <c r="A206" s="100">
        <v>45717</v>
      </c>
      <c r="B206" s="100" t="s">
        <v>270</v>
      </c>
      <c r="C206" s="3">
        <v>2025</v>
      </c>
      <c r="D206" s="3" t="s">
        <v>28</v>
      </c>
      <c r="E206" s="97" t="s">
        <v>136</v>
      </c>
      <c r="F206" s="97"/>
      <c r="G206" s="90">
        <v>1</v>
      </c>
      <c r="H206" s="4">
        <f>VLOOKUP(E206,TABLE!$B$1:$C$137,2,FALSE)</f>
        <v>181.83</v>
      </c>
      <c r="I206" s="4">
        <f t="shared" si="7"/>
        <v>181.83</v>
      </c>
      <c r="J206" s="3" t="s">
        <v>244</v>
      </c>
    </row>
    <row r="207" spans="1:10" ht="18">
      <c r="A207" s="100">
        <v>45717</v>
      </c>
      <c r="B207" s="100" t="s">
        <v>270</v>
      </c>
      <c r="C207" s="3">
        <v>2025</v>
      </c>
      <c r="D207" s="3" t="s">
        <v>12</v>
      </c>
      <c r="E207" s="97" t="s">
        <v>14</v>
      </c>
      <c r="F207" s="97"/>
      <c r="G207" s="90">
        <v>5</v>
      </c>
      <c r="H207" s="4">
        <f>VLOOKUP(E207,TABLE!$B$1:$C$137,2,FALSE)</f>
        <v>49.25</v>
      </c>
      <c r="I207" s="4">
        <f t="shared" si="7"/>
        <v>246.25</v>
      </c>
      <c r="J207" s="3" t="s">
        <v>15</v>
      </c>
    </row>
    <row r="208" spans="1:10" ht="18">
      <c r="A208" s="100">
        <v>45717</v>
      </c>
      <c r="B208" s="100" t="s">
        <v>270</v>
      </c>
      <c r="C208" s="3">
        <v>2025</v>
      </c>
      <c r="D208" s="3" t="s">
        <v>12</v>
      </c>
      <c r="E208" s="97" t="s">
        <v>19</v>
      </c>
      <c r="F208" s="97"/>
      <c r="G208" s="90">
        <v>4</v>
      </c>
      <c r="H208" s="4">
        <f>VLOOKUP(E208,TABLE!$B$1:$C$137,2,FALSE)</f>
        <v>23.91</v>
      </c>
      <c r="I208" s="4">
        <f t="shared" si="7"/>
        <v>95.64</v>
      </c>
      <c r="J208" s="3" t="s">
        <v>15</v>
      </c>
    </row>
    <row r="209" spans="1:10" ht="18">
      <c r="A209" s="100">
        <v>45717</v>
      </c>
      <c r="B209" s="100" t="s">
        <v>270</v>
      </c>
      <c r="C209" s="3">
        <v>2025</v>
      </c>
      <c r="D209" s="3" t="s">
        <v>12</v>
      </c>
      <c r="E209" s="97" t="s">
        <v>20</v>
      </c>
      <c r="F209" s="97"/>
      <c r="G209" s="90">
        <v>7</v>
      </c>
      <c r="H209" s="4">
        <f>VLOOKUP(E209,TABLE!$B$1:$C$137,2,FALSE)</f>
        <v>38.270000000000003</v>
      </c>
      <c r="I209" s="4">
        <f t="shared" si="7"/>
        <v>267.89000000000004</v>
      </c>
      <c r="J209" s="3" t="s">
        <v>15</v>
      </c>
    </row>
    <row r="210" spans="1:10" ht="18">
      <c r="A210" s="100">
        <v>45717</v>
      </c>
      <c r="B210" s="100" t="s">
        <v>270</v>
      </c>
      <c r="C210" s="3">
        <v>2025</v>
      </c>
      <c r="D210" s="3" t="s">
        <v>12</v>
      </c>
      <c r="E210" s="97" t="s">
        <v>21</v>
      </c>
      <c r="F210" s="97"/>
      <c r="G210" s="90">
        <v>6</v>
      </c>
      <c r="H210" s="4">
        <f>VLOOKUP(E210,TABLE!$B$1:$C$137,2,FALSE)</f>
        <v>44.78</v>
      </c>
      <c r="I210" s="4">
        <f t="shared" si="7"/>
        <v>268.68</v>
      </c>
      <c r="J210" s="3" t="s">
        <v>15</v>
      </c>
    </row>
    <row r="211" spans="1:10" ht="18">
      <c r="A211" s="100">
        <v>45717</v>
      </c>
      <c r="B211" s="100" t="s">
        <v>270</v>
      </c>
      <c r="C211" s="3">
        <v>2025</v>
      </c>
      <c r="D211" s="3" t="s">
        <v>12</v>
      </c>
      <c r="E211" s="97" t="s">
        <v>77</v>
      </c>
      <c r="F211" s="97"/>
      <c r="G211" s="90">
        <v>10</v>
      </c>
      <c r="H211" s="4">
        <f>VLOOKUP(E211,TABLE!$B$1:$C$137,2,FALSE)</f>
        <v>38.94</v>
      </c>
      <c r="I211" s="4">
        <f t="shared" si="7"/>
        <v>389.4</v>
      </c>
      <c r="J211" s="3" t="s">
        <v>15</v>
      </c>
    </row>
    <row r="212" spans="1:10" ht="18">
      <c r="A212" s="100">
        <v>45717</v>
      </c>
      <c r="B212" s="100" t="s">
        <v>270</v>
      </c>
      <c r="C212" s="3">
        <v>2025</v>
      </c>
      <c r="D212" s="3" t="s">
        <v>12</v>
      </c>
      <c r="E212" s="97" t="s">
        <v>70</v>
      </c>
      <c r="F212" s="97"/>
      <c r="G212" s="90">
        <v>1</v>
      </c>
      <c r="H212" s="4">
        <f>VLOOKUP(E212,TABLE!$B$1:$C$137,2,FALSE)</f>
        <v>50.64</v>
      </c>
      <c r="I212" s="4">
        <f t="shared" si="7"/>
        <v>50.64</v>
      </c>
      <c r="J212" s="3" t="s">
        <v>15</v>
      </c>
    </row>
    <row r="213" spans="1:10" ht="18">
      <c r="A213" s="100">
        <v>45717</v>
      </c>
      <c r="B213" s="100" t="s">
        <v>270</v>
      </c>
      <c r="C213" s="3">
        <v>2025</v>
      </c>
      <c r="D213" s="3" t="s">
        <v>12</v>
      </c>
      <c r="E213" s="97" t="s">
        <v>14</v>
      </c>
      <c r="F213" s="97"/>
      <c r="G213" s="90">
        <v>2</v>
      </c>
      <c r="H213" s="4">
        <f>VLOOKUP(E213,TABLE!$B$1:$C$137,2,FALSE)</f>
        <v>49.25</v>
      </c>
      <c r="I213" s="4">
        <f t="shared" si="7"/>
        <v>98.5</v>
      </c>
      <c r="J213" s="3" t="s">
        <v>13</v>
      </c>
    </row>
    <row r="214" spans="1:10" ht="18">
      <c r="A214" s="100">
        <v>45717</v>
      </c>
      <c r="B214" s="100" t="s">
        <v>270</v>
      </c>
      <c r="C214" s="3">
        <v>2025</v>
      </c>
      <c r="D214" s="3" t="s">
        <v>12</v>
      </c>
      <c r="E214" s="97" t="s">
        <v>21</v>
      </c>
      <c r="F214" s="97"/>
      <c r="G214" s="90">
        <v>2</v>
      </c>
      <c r="H214" s="4">
        <f>VLOOKUP(E214,TABLE!$B$1:$C$137,2,FALSE)</f>
        <v>44.78</v>
      </c>
      <c r="I214" s="4">
        <f t="shared" si="7"/>
        <v>89.56</v>
      </c>
      <c r="J214" s="3" t="s">
        <v>13</v>
      </c>
    </row>
    <row r="215" spans="1:10" ht="18">
      <c r="A215" s="100">
        <v>45717</v>
      </c>
      <c r="B215" s="100" t="s">
        <v>270</v>
      </c>
      <c r="C215" s="3">
        <v>2025</v>
      </c>
      <c r="D215" s="3" t="s">
        <v>28</v>
      </c>
      <c r="E215" s="97" t="s">
        <v>27</v>
      </c>
      <c r="F215" s="97"/>
      <c r="G215" s="90">
        <v>19</v>
      </c>
      <c r="H215" s="4">
        <f>VLOOKUP(E215,TABLE!$B$1:$C$137,2,FALSE)</f>
        <v>11.59</v>
      </c>
      <c r="I215" s="4">
        <f t="shared" si="7"/>
        <v>220.21</v>
      </c>
      <c r="J215" s="3" t="s">
        <v>29</v>
      </c>
    </row>
    <row r="216" spans="1:10" ht="18">
      <c r="A216" s="100">
        <v>45717</v>
      </c>
      <c r="B216" s="100" t="s">
        <v>270</v>
      </c>
      <c r="C216" s="3">
        <v>2025</v>
      </c>
      <c r="D216" s="3" t="s">
        <v>28</v>
      </c>
      <c r="E216" s="97" t="s">
        <v>84</v>
      </c>
      <c r="F216" s="97"/>
      <c r="G216" s="90">
        <v>3</v>
      </c>
      <c r="H216" s="4">
        <f>VLOOKUP(E216,TABLE!$B$1:$C$137,2,FALSE)</f>
        <v>15.38</v>
      </c>
      <c r="I216" s="4">
        <f t="shared" si="7"/>
        <v>46.14</v>
      </c>
      <c r="J216" s="3" t="s">
        <v>246</v>
      </c>
    </row>
    <row r="217" spans="1:10" ht="18">
      <c r="A217" s="100">
        <v>45717</v>
      </c>
      <c r="B217" s="100" t="s">
        <v>270</v>
      </c>
      <c r="C217" s="3">
        <v>2025</v>
      </c>
      <c r="D217" s="3" t="s">
        <v>28</v>
      </c>
      <c r="E217" s="97" t="s">
        <v>113</v>
      </c>
      <c r="F217" s="97"/>
      <c r="G217" s="90">
        <v>10</v>
      </c>
      <c r="H217" s="4">
        <f>VLOOKUP(E217,TABLE!$B$1:$C$137,2,FALSE)</f>
        <v>52.3</v>
      </c>
      <c r="I217" s="4">
        <f t="shared" si="7"/>
        <v>523</v>
      </c>
      <c r="J217" s="3" t="s">
        <v>246</v>
      </c>
    </row>
    <row r="218" spans="1:10" ht="18">
      <c r="A218" s="100">
        <v>45717</v>
      </c>
      <c r="B218" s="100" t="s">
        <v>270</v>
      </c>
      <c r="C218" s="3">
        <v>2025</v>
      </c>
      <c r="D218" s="3" t="s">
        <v>28</v>
      </c>
      <c r="E218" s="97" t="s">
        <v>25</v>
      </c>
      <c r="F218" s="97"/>
      <c r="G218" s="90">
        <v>2</v>
      </c>
      <c r="H218" s="4">
        <f>VLOOKUP(E218,TABLE!$B$1:$C$137,2,FALSE)</f>
        <v>20.04</v>
      </c>
      <c r="I218" s="4">
        <f t="shared" si="7"/>
        <v>40.08</v>
      </c>
      <c r="J218" s="3" t="s">
        <v>246</v>
      </c>
    </row>
    <row r="219" spans="1:10" ht="18">
      <c r="A219" s="100">
        <v>45748</v>
      </c>
      <c r="B219" s="100" t="s">
        <v>271</v>
      </c>
      <c r="C219" s="3">
        <v>2025</v>
      </c>
      <c r="D219" s="3" t="s">
        <v>7</v>
      </c>
      <c r="E219" s="97" t="s">
        <v>254</v>
      </c>
      <c r="F219" s="97"/>
      <c r="G219" s="90">
        <v>5</v>
      </c>
      <c r="H219" s="4">
        <f>VLOOKUP(E219,TABLE!$B$1:$C$137,2,FALSE)</f>
        <v>76.89</v>
      </c>
      <c r="I219" s="4">
        <f t="shared" si="7"/>
        <v>384.45</v>
      </c>
      <c r="J219" s="3" t="s">
        <v>13</v>
      </c>
    </row>
    <row r="220" spans="1:10" ht="18">
      <c r="A220" s="100">
        <v>45748</v>
      </c>
      <c r="B220" s="100" t="s">
        <v>271</v>
      </c>
      <c r="C220" s="3">
        <v>2025</v>
      </c>
      <c r="D220" s="3" t="s">
        <v>7</v>
      </c>
      <c r="E220" s="97" t="s">
        <v>71</v>
      </c>
      <c r="F220" s="97"/>
      <c r="G220" s="90">
        <v>4</v>
      </c>
      <c r="H220" s="4">
        <f>VLOOKUP(E220,TABLE!$B$1:$C$137,2,FALSE)</f>
        <v>72.31</v>
      </c>
      <c r="I220" s="4">
        <f t="shared" si="7"/>
        <v>289.24</v>
      </c>
      <c r="J220" s="3" t="s">
        <v>13</v>
      </c>
    </row>
    <row r="221" spans="1:10" ht="18">
      <c r="A221" s="100">
        <v>45748</v>
      </c>
      <c r="B221" s="100" t="s">
        <v>271</v>
      </c>
      <c r="C221" s="3">
        <v>2025</v>
      </c>
      <c r="D221" s="3" t="s">
        <v>7</v>
      </c>
      <c r="E221" s="97" t="s">
        <v>9</v>
      </c>
      <c r="F221" s="97"/>
      <c r="G221" s="90">
        <v>3</v>
      </c>
      <c r="H221" s="4">
        <f>VLOOKUP(E221,TABLE!$B$1:$C$137,2,FALSE)</f>
        <v>114.33</v>
      </c>
      <c r="I221" s="4">
        <f t="shared" si="7"/>
        <v>342.99</v>
      </c>
      <c r="J221" s="3" t="s">
        <v>13</v>
      </c>
    </row>
    <row r="222" spans="1:10" ht="18">
      <c r="A222" s="100">
        <v>45748</v>
      </c>
      <c r="B222" s="100" t="s">
        <v>271</v>
      </c>
      <c r="C222" s="3">
        <v>2025</v>
      </c>
      <c r="D222" s="3" t="s">
        <v>7</v>
      </c>
      <c r="E222" s="97" t="s">
        <v>36</v>
      </c>
      <c r="F222" s="97"/>
      <c r="G222" s="90">
        <v>19</v>
      </c>
      <c r="H222" s="4">
        <f>VLOOKUP(E222,TABLE!$B$1:$C$137,2,FALSE)</f>
        <v>358</v>
      </c>
      <c r="I222" s="4">
        <f t="shared" ref="I222:I253" si="8">G222*H222</f>
        <v>6802</v>
      </c>
      <c r="J222" s="3" t="s">
        <v>13</v>
      </c>
    </row>
    <row r="223" spans="1:10" ht="18">
      <c r="A223" s="100">
        <v>45748</v>
      </c>
      <c r="B223" s="100" t="s">
        <v>271</v>
      </c>
      <c r="C223" s="3">
        <v>2025</v>
      </c>
      <c r="D223" s="3" t="s">
        <v>7</v>
      </c>
      <c r="E223" s="97" t="s">
        <v>4</v>
      </c>
      <c r="F223" s="97"/>
      <c r="G223" s="90">
        <v>2</v>
      </c>
      <c r="H223" s="4">
        <f>VLOOKUP(E223,TABLE!$B$1:$C$137,2,FALSE)</f>
        <v>94.25</v>
      </c>
      <c r="I223" s="4">
        <f t="shared" si="8"/>
        <v>188.5</v>
      </c>
      <c r="J223" s="3" t="s">
        <v>13</v>
      </c>
    </row>
    <row r="224" spans="1:10" ht="18">
      <c r="A224" s="100">
        <v>45748</v>
      </c>
      <c r="B224" s="100" t="s">
        <v>271</v>
      </c>
      <c r="C224" s="3">
        <v>2025</v>
      </c>
      <c r="D224" s="3" t="s">
        <v>7</v>
      </c>
      <c r="E224" s="97" t="s">
        <v>31</v>
      </c>
      <c r="F224" s="97"/>
      <c r="G224" s="90">
        <v>4</v>
      </c>
      <c r="H224" s="4">
        <f>VLOOKUP(E224,TABLE!$B$1:$C$137,2,FALSE)</f>
        <v>85.75</v>
      </c>
      <c r="I224" s="4">
        <f t="shared" si="8"/>
        <v>343</v>
      </c>
      <c r="J224" s="3" t="s">
        <v>13</v>
      </c>
    </row>
    <row r="225" spans="1:10" ht="18">
      <c r="A225" s="100">
        <v>45748</v>
      </c>
      <c r="B225" s="100" t="s">
        <v>271</v>
      </c>
      <c r="C225" s="3">
        <v>2025</v>
      </c>
      <c r="D225" s="3" t="s">
        <v>7</v>
      </c>
      <c r="E225" s="97" t="s">
        <v>92</v>
      </c>
      <c r="F225" s="97"/>
      <c r="G225" s="90">
        <v>1</v>
      </c>
      <c r="H225" s="4">
        <f>VLOOKUP(E225,TABLE!$B$1:$C$137,2,FALSE)</f>
        <v>77.69</v>
      </c>
      <c r="I225" s="4">
        <f t="shared" si="8"/>
        <v>77.69</v>
      </c>
      <c r="J225" s="3" t="s">
        <v>13</v>
      </c>
    </row>
    <row r="226" spans="1:10" ht="18">
      <c r="A226" s="100">
        <v>45748</v>
      </c>
      <c r="B226" s="100" t="s">
        <v>271</v>
      </c>
      <c r="C226" s="3">
        <v>2025</v>
      </c>
      <c r="D226" s="3" t="s">
        <v>7</v>
      </c>
      <c r="E226" s="97" t="s">
        <v>160</v>
      </c>
      <c r="F226" s="97"/>
      <c r="G226" s="90">
        <v>1</v>
      </c>
      <c r="H226" s="4">
        <f>VLOOKUP(E226,TABLE!$B$1:$C$137,2,FALSE)</f>
        <v>115.36</v>
      </c>
      <c r="I226" s="4">
        <f t="shared" si="8"/>
        <v>115.36</v>
      </c>
      <c r="J226" s="3" t="s">
        <v>13</v>
      </c>
    </row>
    <row r="227" spans="1:10" ht="18">
      <c r="A227" s="100">
        <v>45748</v>
      </c>
      <c r="B227" s="100" t="s">
        <v>271</v>
      </c>
      <c r="C227" s="3">
        <v>2025</v>
      </c>
      <c r="D227" s="3" t="s">
        <v>7</v>
      </c>
      <c r="E227" s="97" t="s">
        <v>3</v>
      </c>
      <c r="F227" s="97"/>
      <c r="G227" s="90">
        <v>4</v>
      </c>
      <c r="H227" s="4">
        <f>VLOOKUP(E227,TABLE!$B$1:$C$137,2,FALSE)</f>
        <v>85</v>
      </c>
      <c r="I227" s="4">
        <f t="shared" si="8"/>
        <v>340</v>
      </c>
      <c r="J227" s="3" t="s">
        <v>13</v>
      </c>
    </row>
    <row r="228" spans="1:10" ht="18">
      <c r="A228" s="100">
        <v>45748</v>
      </c>
      <c r="B228" s="100" t="s">
        <v>271</v>
      </c>
      <c r="C228" s="3">
        <v>2025</v>
      </c>
      <c r="D228" s="3" t="s">
        <v>7</v>
      </c>
      <c r="E228" s="97" t="s">
        <v>71</v>
      </c>
      <c r="F228" s="97"/>
      <c r="G228" s="90">
        <v>2</v>
      </c>
      <c r="H228" s="4">
        <f>VLOOKUP(E228,TABLE!$B$1:$C$137,2,FALSE)</f>
        <v>72.31</v>
      </c>
      <c r="I228" s="4">
        <f t="shared" si="8"/>
        <v>144.62</v>
      </c>
      <c r="J228" s="3" t="s">
        <v>32</v>
      </c>
    </row>
    <row r="229" spans="1:10" ht="18">
      <c r="A229" s="100">
        <v>45748</v>
      </c>
      <c r="B229" s="100" t="s">
        <v>271</v>
      </c>
      <c r="C229" s="3">
        <v>2025</v>
      </c>
      <c r="D229" s="3" t="s">
        <v>7</v>
      </c>
      <c r="E229" s="97" t="s">
        <v>31</v>
      </c>
      <c r="F229" s="97"/>
      <c r="G229" s="90">
        <v>1</v>
      </c>
      <c r="H229" s="4">
        <f>VLOOKUP(E229,TABLE!$B$1:$C$137,2,FALSE)</f>
        <v>85.75</v>
      </c>
      <c r="I229" s="4">
        <f t="shared" si="8"/>
        <v>85.75</v>
      </c>
      <c r="J229" s="3" t="s">
        <v>32</v>
      </c>
    </row>
    <row r="230" spans="1:10" ht="18">
      <c r="A230" s="100">
        <v>45748</v>
      </c>
      <c r="B230" s="100" t="s">
        <v>271</v>
      </c>
      <c r="C230" s="3">
        <v>2025</v>
      </c>
      <c r="D230" s="3" t="s">
        <v>7</v>
      </c>
      <c r="E230" s="97" t="s">
        <v>56</v>
      </c>
      <c r="F230" s="97"/>
      <c r="G230" s="90">
        <v>2</v>
      </c>
      <c r="H230" s="4">
        <f>VLOOKUP(E230,TABLE!$B$1:$C$137,2,FALSE)</f>
        <v>241.14</v>
      </c>
      <c r="I230" s="4">
        <f t="shared" si="8"/>
        <v>482.28</v>
      </c>
      <c r="J230" s="3" t="s">
        <v>242</v>
      </c>
    </row>
    <row r="231" spans="1:10" ht="18">
      <c r="A231" s="100">
        <v>45748</v>
      </c>
      <c r="B231" s="100" t="s">
        <v>271</v>
      </c>
      <c r="C231" s="3">
        <v>2025</v>
      </c>
      <c r="D231" s="3" t="s">
        <v>7</v>
      </c>
      <c r="E231" s="97" t="s">
        <v>4</v>
      </c>
      <c r="F231" s="97"/>
      <c r="G231" s="90">
        <v>1</v>
      </c>
      <c r="H231" s="4">
        <f>VLOOKUP(E231,TABLE!$B$1:$C$137,2,FALSE)</f>
        <v>94.25</v>
      </c>
      <c r="I231" s="4">
        <f t="shared" si="8"/>
        <v>94.25</v>
      </c>
      <c r="J231" s="3" t="s">
        <v>242</v>
      </c>
    </row>
    <row r="232" spans="1:10" ht="18">
      <c r="A232" s="100">
        <v>45748</v>
      </c>
      <c r="B232" s="100" t="s">
        <v>271</v>
      </c>
      <c r="C232" s="3">
        <v>2025</v>
      </c>
      <c r="D232" s="3" t="s">
        <v>7</v>
      </c>
      <c r="E232" s="97" t="s">
        <v>3</v>
      </c>
      <c r="F232" s="97"/>
      <c r="G232" s="90">
        <v>1</v>
      </c>
      <c r="H232" s="4">
        <f>VLOOKUP(E232,TABLE!$B$1:$C$137,2,FALSE)</f>
        <v>85</v>
      </c>
      <c r="I232" s="4">
        <f t="shared" si="8"/>
        <v>85</v>
      </c>
      <c r="J232" s="3" t="s">
        <v>242</v>
      </c>
    </row>
    <row r="233" spans="1:10" ht="18">
      <c r="A233" s="100">
        <v>45748</v>
      </c>
      <c r="B233" s="100" t="s">
        <v>271</v>
      </c>
      <c r="C233" s="3">
        <v>2025</v>
      </c>
      <c r="D233" s="3" t="s">
        <v>12</v>
      </c>
      <c r="E233" s="97" t="s">
        <v>14</v>
      </c>
      <c r="F233" s="97"/>
      <c r="G233" s="90">
        <v>2</v>
      </c>
      <c r="H233" s="4">
        <f>VLOOKUP(E233,TABLE!$B$1:$C$137,2,FALSE)</f>
        <v>49.25</v>
      </c>
      <c r="I233" s="4">
        <f t="shared" si="8"/>
        <v>98.5</v>
      </c>
      <c r="J233" s="3" t="s">
        <v>13</v>
      </c>
    </row>
    <row r="234" spans="1:10" ht="18">
      <c r="A234" s="100">
        <v>45748</v>
      </c>
      <c r="B234" s="100" t="s">
        <v>271</v>
      </c>
      <c r="C234" s="3">
        <v>2025</v>
      </c>
      <c r="D234" s="3" t="s">
        <v>12</v>
      </c>
      <c r="E234" s="97" t="s">
        <v>19</v>
      </c>
      <c r="F234" s="97"/>
      <c r="G234" s="90">
        <v>2</v>
      </c>
      <c r="H234" s="4">
        <f>VLOOKUP(E234,TABLE!$B$1:$C$137,2,FALSE)</f>
        <v>23.91</v>
      </c>
      <c r="I234" s="4">
        <f t="shared" si="8"/>
        <v>47.82</v>
      </c>
      <c r="J234" s="3" t="s">
        <v>13</v>
      </c>
    </row>
    <row r="235" spans="1:10" ht="18">
      <c r="A235" s="100">
        <v>45748</v>
      </c>
      <c r="B235" s="100" t="s">
        <v>271</v>
      </c>
      <c r="C235" s="3">
        <v>2025</v>
      </c>
      <c r="D235" s="3" t="s">
        <v>12</v>
      </c>
      <c r="E235" s="97" t="s">
        <v>70</v>
      </c>
      <c r="F235" s="97"/>
      <c r="G235" s="90">
        <v>3</v>
      </c>
      <c r="H235" s="4">
        <f>VLOOKUP(E235,TABLE!$B$1:$C$137,2,FALSE)</f>
        <v>50.64</v>
      </c>
      <c r="I235" s="4">
        <f t="shared" si="8"/>
        <v>151.92000000000002</v>
      </c>
      <c r="J235" s="3" t="s">
        <v>13</v>
      </c>
    </row>
    <row r="236" spans="1:10" ht="18">
      <c r="A236" s="100">
        <v>45748</v>
      </c>
      <c r="B236" s="100" t="s">
        <v>271</v>
      </c>
      <c r="C236" s="3">
        <v>2025</v>
      </c>
      <c r="D236" s="3" t="s">
        <v>12</v>
      </c>
      <c r="E236" s="97" t="s">
        <v>11</v>
      </c>
      <c r="F236" s="97"/>
      <c r="G236" s="90">
        <v>4</v>
      </c>
      <c r="H236" s="4">
        <f>VLOOKUP(E236,TABLE!$B$1:$C$137,2,FALSE)</f>
        <v>32.32</v>
      </c>
      <c r="I236" s="4">
        <f t="shared" si="8"/>
        <v>129.28</v>
      </c>
      <c r="J236" s="3" t="s">
        <v>15</v>
      </c>
    </row>
    <row r="237" spans="1:10" ht="18">
      <c r="A237" s="100">
        <v>45748</v>
      </c>
      <c r="B237" s="100" t="s">
        <v>271</v>
      </c>
      <c r="C237" s="3">
        <v>2025</v>
      </c>
      <c r="D237" s="3" t="s">
        <v>12</v>
      </c>
      <c r="E237" s="97" t="s">
        <v>39</v>
      </c>
      <c r="F237" s="97"/>
      <c r="G237" s="90">
        <v>1</v>
      </c>
      <c r="H237" s="4">
        <f>VLOOKUP(E237,TABLE!$B$1:$C$137,2,FALSE)</f>
        <v>34.83</v>
      </c>
      <c r="I237" s="4">
        <f t="shared" si="8"/>
        <v>34.83</v>
      </c>
      <c r="J237" s="3" t="s">
        <v>15</v>
      </c>
    </row>
    <row r="238" spans="1:10" ht="18">
      <c r="A238" s="100">
        <v>45748</v>
      </c>
      <c r="B238" s="100" t="s">
        <v>271</v>
      </c>
      <c r="C238" s="3">
        <v>2025</v>
      </c>
      <c r="D238" s="3" t="s">
        <v>12</v>
      </c>
      <c r="E238" s="97" t="s">
        <v>20</v>
      </c>
      <c r="F238" s="97"/>
      <c r="G238" s="90">
        <v>1</v>
      </c>
      <c r="H238" s="4">
        <f>VLOOKUP(E238,TABLE!$B$1:$C$137,2,FALSE)</f>
        <v>38.270000000000003</v>
      </c>
      <c r="I238" s="4">
        <f t="shared" si="8"/>
        <v>38.270000000000003</v>
      </c>
      <c r="J238" s="3" t="s">
        <v>15</v>
      </c>
    </row>
    <row r="239" spans="1:10" ht="18">
      <c r="A239" s="100">
        <v>45748</v>
      </c>
      <c r="B239" s="100" t="s">
        <v>271</v>
      </c>
      <c r="C239" s="3">
        <v>2025</v>
      </c>
      <c r="D239" s="3" t="s">
        <v>12</v>
      </c>
      <c r="E239" s="97" t="s">
        <v>21</v>
      </c>
      <c r="F239" s="97"/>
      <c r="G239" s="90">
        <v>7</v>
      </c>
      <c r="H239" s="4">
        <f>VLOOKUP(E239,TABLE!$B$1:$C$137,2,FALSE)</f>
        <v>44.78</v>
      </c>
      <c r="I239" s="4">
        <f t="shared" si="8"/>
        <v>313.46000000000004</v>
      </c>
      <c r="J239" s="3" t="s">
        <v>15</v>
      </c>
    </row>
    <row r="240" spans="1:10" ht="18">
      <c r="A240" s="100">
        <v>45748</v>
      </c>
      <c r="B240" s="100" t="s">
        <v>271</v>
      </c>
      <c r="C240" s="3">
        <v>2025</v>
      </c>
      <c r="D240" s="3" t="s">
        <v>12</v>
      </c>
      <c r="E240" s="97" t="s">
        <v>77</v>
      </c>
      <c r="F240" s="97"/>
      <c r="G240" s="90">
        <v>7</v>
      </c>
      <c r="H240" s="4">
        <f>VLOOKUP(E240,TABLE!$B$1:$C$137,2,FALSE)</f>
        <v>38.94</v>
      </c>
      <c r="I240" s="4">
        <f t="shared" si="8"/>
        <v>272.58</v>
      </c>
      <c r="J240" s="3" t="s">
        <v>15</v>
      </c>
    </row>
    <row r="241" spans="1:10" ht="18">
      <c r="A241" s="100">
        <v>45748</v>
      </c>
      <c r="B241" s="100" t="s">
        <v>271</v>
      </c>
      <c r="C241" s="3">
        <v>2025</v>
      </c>
      <c r="D241" s="3" t="s">
        <v>12</v>
      </c>
      <c r="E241" s="97" t="s">
        <v>122</v>
      </c>
      <c r="F241" s="97"/>
      <c r="G241" s="90">
        <v>4</v>
      </c>
      <c r="H241" s="4">
        <f>VLOOKUP(E241,TABLE!$B$1:$C$137,2,FALSE)</f>
        <v>188.56</v>
      </c>
      <c r="I241" s="4">
        <f t="shared" si="8"/>
        <v>754.24</v>
      </c>
      <c r="J241" s="3" t="s">
        <v>243</v>
      </c>
    </row>
    <row r="242" spans="1:10" ht="18">
      <c r="A242" s="100">
        <v>45748</v>
      </c>
      <c r="B242" s="100" t="s">
        <v>271</v>
      </c>
      <c r="C242" s="3">
        <v>2025</v>
      </c>
      <c r="D242" s="3" t="s">
        <v>28</v>
      </c>
      <c r="E242" s="97" t="s">
        <v>84</v>
      </c>
      <c r="F242" s="97"/>
      <c r="G242" s="90">
        <v>2</v>
      </c>
      <c r="H242" s="4">
        <f>VLOOKUP(E242,TABLE!$B$1:$C$137,2,FALSE)</f>
        <v>15.38</v>
      </c>
      <c r="I242" s="4">
        <f t="shared" si="8"/>
        <v>30.76</v>
      </c>
      <c r="J242" s="3" t="s">
        <v>246</v>
      </c>
    </row>
    <row r="243" spans="1:10" ht="18">
      <c r="A243" s="100">
        <v>45748</v>
      </c>
      <c r="B243" s="100" t="s">
        <v>271</v>
      </c>
      <c r="C243" s="3">
        <v>2025</v>
      </c>
      <c r="D243" s="3" t="s">
        <v>28</v>
      </c>
      <c r="E243" s="97" t="s">
        <v>85</v>
      </c>
      <c r="F243" s="106"/>
      <c r="G243" s="99">
        <v>75</v>
      </c>
      <c r="H243" s="4">
        <f>VLOOKUP(E243,TABLE!$B$1:$C$137,2,FALSE)</f>
        <v>19.55</v>
      </c>
      <c r="I243" s="4">
        <f t="shared" si="8"/>
        <v>1466.25</v>
      </c>
      <c r="J243" s="3" t="s">
        <v>246</v>
      </c>
    </row>
    <row r="244" spans="1:10" ht="18">
      <c r="A244" s="100">
        <v>45748</v>
      </c>
      <c r="B244" s="100" t="s">
        <v>271</v>
      </c>
      <c r="C244" s="3">
        <v>2025</v>
      </c>
      <c r="D244" s="3" t="s">
        <v>28</v>
      </c>
      <c r="E244" s="97" t="s">
        <v>110</v>
      </c>
      <c r="F244" s="106"/>
      <c r="G244" s="99">
        <v>1</v>
      </c>
      <c r="H244" s="4">
        <f>VLOOKUP(E244,TABLE!$B$1:$C$137,2,FALSE)</f>
        <v>26</v>
      </c>
      <c r="I244" s="4">
        <f t="shared" si="8"/>
        <v>26</v>
      </c>
      <c r="J244" s="3" t="s">
        <v>246</v>
      </c>
    </row>
    <row r="245" spans="1:10" ht="18">
      <c r="A245" s="100">
        <v>45748</v>
      </c>
      <c r="B245" s="100" t="s">
        <v>271</v>
      </c>
      <c r="C245" s="3">
        <v>2025</v>
      </c>
      <c r="D245" s="3" t="s">
        <v>28</v>
      </c>
      <c r="E245" s="97" t="s">
        <v>109</v>
      </c>
      <c r="F245" s="106"/>
      <c r="G245" s="99">
        <v>1</v>
      </c>
      <c r="H245" s="4">
        <f>VLOOKUP(E245,TABLE!$B$1:$C$137,2,FALSE)</f>
        <v>19.75</v>
      </c>
      <c r="I245" s="4">
        <f t="shared" si="8"/>
        <v>19.75</v>
      </c>
      <c r="J245" s="3" t="s">
        <v>246</v>
      </c>
    </row>
    <row r="246" spans="1:10" ht="18">
      <c r="A246" s="100">
        <v>45748</v>
      </c>
      <c r="B246" s="100" t="s">
        <v>271</v>
      </c>
      <c r="C246" s="3">
        <v>2025</v>
      </c>
      <c r="D246" s="3" t="s">
        <v>28</v>
      </c>
      <c r="E246" s="97" t="s">
        <v>27</v>
      </c>
      <c r="F246" s="106"/>
      <c r="G246" s="99">
        <v>1</v>
      </c>
      <c r="H246" s="4">
        <f>VLOOKUP(E246,TABLE!$B$1:$C$137,2,FALSE)</f>
        <v>11.59</v>
      </c>
      <c r="I246" s="4">
        <f t="shared" si="8"/>
        <v>11.59</v>
      </c>
      <c r="J246" s="3" t="s">
        <v>29</v>
      </c>
    </row>
    <row r="247" spans="1:10" ht="18">
      <c r="A247" s="100">
        <v>45748</v>
      </c>
      <c r="B247" s="100" t="s">
        <v>271</v>
      </c>
      <c r="C247" s="3">
        <v>2025</v>
      </c>
      <c r="D247" s="3" t="s">
        <v>28</v>
      </c>
      <c r="E247" s="97" t="s">
        <v>90</v>
      </c>
      <c r="F247" s="106"/>
      <c r="G247" s="99">
        <v>2</v>
      </c>
      <c r="H247" s="4">
        <f>VLOOKUP(E247,TABLE!$B$1:$C$137,2,FALSE)</f>
        <v>40.71</v>
      </c>
      <c r="I247" s="4">
        <f t="shared" si="8"/>
        <v>81.42</v>
      </c>
      <c r="J247" s="3" t="s">
        <v>29</v>
      </c>
    </row>
    <row r="248" spans="1:10" ht="18">
      <c r="A248" s="100">
        <v>45748</v>
      </c>
      <c r="B248" s="100" t="s">
        <v>271</v>
      </c>
      <c r="C248" s="3">
        <v>2025</v>
      </c>
      <c r="D248" s="3" t="s">
        <v>28</v>
      </c>
      <c r="E248" s="97" t="s">
        <v>84</v>
      </c>
      <c r="F248" s="106"/>
      <c r="G248" s="93">
        <v>1</v>
      </c>
      <c r="H248" s="4">
        <f>VLOOKUP(E248,TABLE!$B$1:$C$137,2,FALSE)</f>
        <v>15.38</v>
      </c>
      <c r="I248" s="4">
        <f t="shared" si="8"/>
        <v>15.38</v>
      </c>
      <c r="J248" s="3" t="s">
        <v>244</v>
      </c>
    </row>
    <row r="249" spans="1:10" ht="18">
      <c r="A249" s="100">
        <v>45748</v>
      </c>
      <c r="B249" s="100" t="s">
        <v>271</v>
      </c>
      <c r="C249" s="3">
        <v>2025</v>
      </c>
      <c r="D249" s="3" t="s">
        <v>28</v>
      </c>
      <c r="E249" s="97" t="s">
        <v>115</v>
      </c>
      <c r="F249" s="106"/>
      <c r="G249" s="93">
        <v>2</v>
      </c>
      <c r="H249" s="4">
        <f>VLOOKUP(E249,TABLE!$B$1:$C$137,2,FALSE)</f>
        <v>19.739999999999998</v>
      </c>
      <c r="I249" s="4">
        <f t="shared" si="8"/>
        <v>39.479999999999997</v>
      </c>
      <c r="J249" s="3" t="s">
        <v>244</v>
      </c>
    </row>
    <row r="250" spans="1:10" ht="18">
      <c r="A250" s="100">
        <v>45748</v>
      </c>
      <c r="B250" s="100" t="s">
        <v>271</v>
      </c>
      <c r="C250" s="3">
        <v>2025</v>
      </c>
      <c r="D250" s="3" t="s">
        <v>28</v>
      </c>
      <c r="E250" s="97" t="s">
        <v>113</v>
      </c>
      <c r="F250" s="106"/>
      <c r="G250" s="93">
        <v>1</v>
      </c>
      <c r="H250" s="4">
        <f>VLOOKUP(E250,TABLE!$B$1:$C$137,2,FALSE)</f>
        <v>52.3</v>
      </c>
      <c r="I250" s="4">
        <f t="shared" si="8"/>
        <v>52.3</v>
      </c>
      <c r="J250" s="3" t="s">
        <v>244</v>
      </c>
    </row>
    <row r="251" spans="1:10" ht="18">
      <c r="A251" s="100">
        <v>45748</v>
      </c>
      <c r="B251" s="100" t="s">
        <v>271</v>
      </c>
      <c r="C251" s="3">
        <v>2025</v>
      </c>
      <c r="D251" s="3" t="s">
        <v>28</v>
      </c>
      <c r="E251" s="97" t="s">
        <v>238</v>
      </c>
      <c r="F251" s="97"/>
      <c r="G251" s="95">
        <v>1</v>
      </c>
      <c r="H251" s="4">
        <f>VLOOKUP(E251,TABLE!$B$1:$C$137,2,FALSE)</f>
        <v>6.26</v>
      </c>
      <c r="I251" s="4">
        <f t="shared" si="8"/>
        <v>6.26</v>
      </c>
      <c r="J251" s="3" t="s">
        <v>244</v>
      </c>
    </row>
    <row r="252" spans="1:10" ht="18">
      <c r="A252" s="100">
        <v>45748</v>
      </c>
      <c r="B252" s="100" t="s">
        <v>271</v>
      </c>
      <c r="C252" s="3">
        <v>2025</v>
      </c>
      <c r="D252" s="3" t="s">
        <v>28</v>
      </c>
      <c r="E252" s="97" t="s">
        <v>25</v>
      </c>
      <c r="F252" s="97"/>
      <c r="G252" s="95">
        <v>7</v>
      </c>
      <c r="H252" s="4">
        <f>VLOOKUP(E252,TABLE!$B$1:$C$137,2,FALSE)</f>
        <v>20.04</v>
      </c>
      <c r="I252" s="4">
        <f t="shared" si="8"/>
        <v>140.28</v>
      </c>
      <c r="J252" s="3" t="s">
        <v>244</v>
      </c>
    </row>
    <row r="253" spans="1:10" ht="18">
      <c r="A253" s="100">
        <v>45748</v>
      </c>
      <c r="B253" s="100" t="s">
        <v>271</v>
      </c>
      <c r="C253" s="3">
        <v>2025</v>
      </c>
      <c r="D253" s="3" t="s">
        <v>28</v>
      </c>
      <c r="E253" s="97" t="s">
        <v>109</v>
      </c>
      <c r="F253" s="97"/>
      <c r="G253" s="95">
        <v>2</v>
      </c>
      <c r="H253" s="4">
        <f>VLOOKUP(E253,TABLE!$B$1:$C$137,2,FALSE)</f>
        <v>19.75</v>
      </c>
      <c r="I253" s="4">
        <f t="shared" si="8"/>
        <v>39.5</v>
      </c>
      <c r="J253" s="3" t="s">
        <v>244</v>
      </c>
    </row>
    <row r="254" spans="1:10" ht="18">
      <c r="A254" s="100">
        <v>45748</v>
      </c>
      <c r="B254" s="100" t="s">
        <v>271</v>
      </c>
      <c r="C254" s="3">
        <v>2025</v>
      </c>
      <c r="D254" s="3" t="s">
        <v>28</v>
      </c>
      <c r="E254" s="97" t="s">
        <v>106</v>
      </c>
      <c r="F254" s="97"/>
      <c r="G254" s="95">
        <v>1</v>
      </c>
      <c r="H254" s="4">
        <f>VLOOKUP(E254,TABLE!$B$1:$C$137,2,FALSE)</f>
        <v>81.11</v>
      </c>
      <c r="I254" s="4">
        <f t="shared" ref="I254:I281" si="9">G254*H254</f>
        <v>81.11</v>
      </c>
      <c r="J254" s="3" t="s">
        <v>244</v>
      </c>
    </row>
    <row r="255" spans="1:10" ht="18">
      <c r="A255" s="100">
        <v>45748</v>
      </c>
      <c r="B255" s="100" t="s">
        <v>271</v>
      </c>
      <c r="C255" s="3">
        <v>2025</v>
      </c>
      <c r="D255" s="3" t="s">
        <v>28</v>
      </c>
      <c r="E255" s="97" t="s">
        <v>110</v>
      </c>
      <c r="F255" s="97"/>
      <c r="G255" s="95">
        <v>80</v>
      </c>
      <c r="H255" s="4">
        <f>VLOOKUP(E255,TABLE!$B$1:$C$137,2,FALSE)</f>
        <v>26</v>
      </c>
      <c r="I255" s="4">
        <f t="shared" si="9"/>
        <v>2080</v>
      </c>
      <c r="J255" s="3" t="s">
        <v>259</v>
      </c>
    </row>
    <row r="256" spans="1:10" ht="18">
      <c r="A256" s="100">
        <v>45778</v>
      </c>
      <c r="B256" s="100" t="s">
        <v>86</v>
      </c>
      <c r="C256" s="3">
        <v>2025</v>
      </c>
      <c r="D256" s="3" t="s">
        <v>7</v>
      </c>
      <c r="E256" s="45" t="s">
        <v>247</v>
      </c>
      <c r="F256" s="45"/>
      <c r="G256" s="90">
        <v>4</v>
      </c>
      <c r="H256" s="4">
        <f>VLOOKUP(E256,TABLE!$B$1:$C$137,2,FALSE)</f>
        <v>30.18</v>
      </c>
      <c r="I256" s="4">
        <f t="shared" si="9"/>
        <v>120.72</v>
      </c>
      <c r="J256" s="3" t="s">
        <v>246</v>
      </c>
    </row>
    <row r="257" spans="1:10" ht="18">
      <c r="A257" s="100">
        <v>45778</v>
      </c>
      <c r="B257" s="100" t="s">
        <v>86</v>
      </c>
      <c r="C257" s="3">
        <v>2025</v>
      </c>
      <c r="D257" s="3" t="s">
        <v>7</v>
      </c>
      <c r="E257" s="97" t="s">
        <v>71</v>
      </c>
      <c r="F257" s="97"/>
      <c r="G257" s="90">
        <v>9</v>
      </c>
      <c r="H257" s="4">
        <f>VLOOKUP(E257,TABLE!$B$1:$C$137,2,FALSE)</f>
        <v>72.31</v>
      </c>
      <c r="I257" s="4">
        <f t="shared" si="9"/>
        <v>650.79</v>
      </c>
      <c r="J257" s="3" t="s">
        <v>13</v>
      </c>
    </row>
    <row r="258" spans="1:10" ht="18">
      <c r="A258" s="100">
        <v>45778</v>
      </c>
      <c r="B258" s="100" t="s">
        <v>86</v>
      </c>
      <c r="C258" s="3">
        <v>2025</v>
      </c>
      <c r="D258" s="3" t="s">
        <v>7</v>
      </c>
      <c r="E258" s="97" t="s">
        <v>71</v>
      </c>
      <c r="F258" s="97"/>
      <c r="G258" s="90">
        <v>6</v>
      </c>
      <c r="H258" s="4">
        <f>VLOOKUP(E258,TABLE!$B$1:$C$137,2,FALSE)</f>
        <v>72.31</v>
      </c>
      <c r="I258" s="4">
        <f t="shared" si="9"/>
        <v>433.86</v>
      </c>
      <c r="J258" s="3" t="s">
        <v>32</v>
      </c>
    </row>
    <row r="259" spans="1:10" ht="18">
      <c r="A259" s="100">
        <v>45778</v>
      </c>
      <c r="B259" s="100" t="s">
        <v>86</v>
      </c>
      <c r="C259" s="3">
        <v>2025</v>
      </c>
      <c r="D259" s="3" t="s">
        <v>7</v>
      </c>
      <c r="E259" s="97" t="s">
        <v>71</v>
      </c>
      <c r="F259" s="97"/>
      <c r="G259" s="90">
        <v>1</v>
      </c>
      <c r="H259" s="4">
        <f>VLOOKUP(E259,TABLE!$B$1:$C$137,2,FALSE)</f>
        <v>72.31</v>
      </c>
      <c r="I259" s="4">
        <f t="shared" si="9"/>
        <v>72.31</v>
      </c>
      <c r="J259" s="3" t="s">
        <v>15</v>
      </c>
    </row>
    <row r="260" spans="1:10" ht="18">
      <c r="A260" s="100">
        <v>45778</v>
      </c>
      <c r="B260" s="100" t="s">
        <v>86</v>
      </c>
      <c r="C260" s="3">
        <v>2025</v>
      </c>
      <c r="D260" s="3" t="s">
        <v>7</v>
      </c>
      <c r="E260" s="97" t="s">
        <v>31</v>
      </c>
      <c r="F260" s="97"/>
      <c r="G260" s="90">
        <v>23</v>
      </c>
      <c r="H260" s="4">
        <f>VLOOKUP(E260,TABLE!$B$1:$C$137,2,FALSE)</f>
        <v>85.75</v>
      </c>
      <c r="I260" s="4">
        <f t="shared" si="9"/>
        <v>1972.25</v>
      </c>
      <c r="J260" s="3" t="s">
        <v>32</v>
      </c>
    </row>
    <row r="261" spans="1:10" ht="18">
      <c r="A261" s="100">
        <v>45778</v>
      </c>
      <c r="B261" s="100" t="s">
        <v>86</v>
      </c>
      <c r="C261" s="3">
        <v>2025</v>
      </c>
      <c r="D261" s="3" t="s">
        <v>7</v>
      </c>
      <c r="E261" s="97" t="s">
        <v>92</v>
      </c>
      <c r="F261" s="97"/>
      <c r="G261" s="90">
        <v>1</v>
      </c>
      <c r="H261" s="4">
        <f>VLOOKUP(E261,TABLE!$B$1:$C$137,2,FALSE)</f>
        <v>77.69</v>
      </c>
      <c r="I261" s="4">
        <f t="shared" si="9"/>
        <v>77.69</v>
      </c>
      <c r="J261" s="3" t="s">
        <v>13</v>
      </c>
    </row>
    <row r="262" spans="1:10" ht="18">
      <c r="A262" s="100">
        <v>45778</v>
      </c>
      <c r="B262" s="100" t="s">
        <v>86</v>
      </c>
      <c r="C262" s="3">
        <v>2025</v>
      </c>
      <c r="D262" s="3" t="s">
        <v>7</v>
      </c>
      <c r="E262" s="97" t="s">
        <v>3</v>
      </c>
      <c r="F262" s="97"/>
      <c r="G262" s="90">
        <v>1</v>
      </c>
      <c r="H262" s="4">
        <f>VLOOKUP(E262,TABLE!$B$1:$C$137,2,FALSE)</f>
        <v>85</v>
      </c>
      <c r="I262" s="4">
        <f t="shared" si="9"/>
        <v>85</v>
      </c>
      <c r="J262" s="3" t="s">
        <v>13</v>
      </c>
    </row>
    <row r="263" spans="1:10" ht="18">
      <c r="A263" s="100">
        <v>45778</v>
      </c>
      <c r="B263" s="100" t="s">
        <v>86</v>
      </c>
      <c r="C263" s="3">
        <v>2025</v>
      </c>
      <c r="D263" s="3" t="s">
        <v>12</v>
      </c>
      <c r="E263" s="97" t="s">
        <v>11</v>
      </c>
      <c r="F263" s="97"/>
      <c r="G263" s="90">
        <v>9</v>
      </c>
      <c r="H263" s="4">
        <f>VLOOKUP(E263,TABLE!$B$1:$C$137,2,FALSE)</f>
        <v>32.32</v>
      </c>
      <c r="I263" s="4">
        <f t="shared" si="9"/>
        <v>290.88</v>
      </c>
      <c r="J263" s="3" t="s">
        <v>15</v>
      </c>
    </row>
    <row r="264" spans="1:10" ht="18">
      <c r="A264" s="100">
        <v>45778</v>
      </c>
      <c r="B264" s="100" t="s">
        <v>86</v>
      </c>
      <c r="C264" s="3">
        <v>2025</v>
      </c>
      <c r="D264" s="3" t="s">
        <v>12</v>
      </c>
      <c r="E264" s="97" t="s">
        <v>37</v>
      </c>
      <c r="F264" s="97"/>
      <c r="G264" s="90">
        <v>1</v>
      </c>
      <c r="H264" s="4">
        <f>VLOOKUP(E264,TABLE!$B$1:$C$137,2,FALSE)</f>
        <v>16.079999999999998</v>
      </c>
      <c r="I264" s="4">
        <f t="shared" si="9"/>
        <v>16.079999999999998</v>
      </c>
      <c r="J264" s="3" t="s">
        <v>15</v>
      </c>
    </row>
    <row r="265" spans="1:10" ht="18">
      <c r="A265" s="100">
        <v>45778</v>
      </c>
      <c r="B265" s="100" t="s">
        <v>86</v>
      </c>
      <c r="C265" s="3">
        <v>2025</v>
      </c>
      <c r="D265" s="3" t="s">
        <v>12</v>
      </c>
      <c r="E265" s="97" t="s">
        <v>19</v>
      </c>
      <c r="F265" s="97"/>
      <c r="G265" s="90">
        <v>4</v>
      </c>
      <c r="H265" s="4">
        <f>VLOOKUP(E265,TABLE!$B$1:$C$137,2,FALSE)</f>
        <v>23.91</v>
      </c>
      <c r="I265" s="4">
        <f t="shared" si="9"/>
        <v>95.64</v>
      </c>
      <c r="J265" s="3" t="s">
        <v>15</v>
      </c>
    </row>
    <row r="266" spans="1:10" ht="18">
      <c r="A266" s="100">
        <v>45778</v>
      </c>
      <c r="B266" s="100" t="s">
        <v>86</v>
      </c>
      <c r="C266" s="3">
        <v>2025</v>
      </c>
      <c r="D266" s="3" t="s">
        <v>12</v>
      </c>
      <c r="E266" s="97" t="s">
        <v>38</v>
      </c>
      <c r="F266" s="97"/>
      <c r="G266" s="90">
        <v>3</v>
      </c>
      <c r="H266" s="4">
        <f>VLOOKUP(E266,TABLE!$B$1:$C$137,2,FALSE)</f>
        <v>27.14</v>
      </c>
      <c r="I266" s="4">
        <f t="shared" si="9"/>
        <v>81.42</v>
      </c>
      <c r="J266" s="3" t="s">
        <v>15</v>
      </c>
    </row>
    <row r="267" spans="1:10" ht="18">
      <c r="A267" s="100">
        <v>45778</v>
      </c>
      <c r="B267" s="100" t="s">
        <v>86</v>
      </c>
      <c r="C267" s="3">
        <v>2025</v>
      </c>
      <c r="D267" s="3" t="s">
        <v>12</v>
      </c>
      <c r="E267" s="97" t="s">
        <v>21</v>
      </c>
      <c r="F267" s="97"/>
      <c r="G267" s="90">
        <v>5</v>
      </c>
      <c r="H267" s="4">
        <f>VLOOKUP(E267,TABLE!$B$1:$C$137,2,FALSE)</f>
        <v>44.78</v>
      </c>
      <c r="I267" s="4">
        <f t="shared" si="9"/>
        <v>223.9</v>
      </c>
      <c r="J267" s="3" t="s">
        <v>15</v>
      </c>
    </row>
    <row r="268" spans="1:10" ht="18">
      <c r="A268" s="100">
        <v>45778</v>
      </c>
      <c r="B268" s="100" t="s">
        <v>86</v>
      </c>
      <c r="C268" s="3">
        <v>2025</v>
      </c>
      <c r="D268" s="3" t="s">
        <v>12</v>
      </c>
      <c r="E268" s="97" t="s">
        <v>22</v>
      </c>
      <c r="F268" s="97"/>
      <c r="G268" s="90">
        <v>1</v>
      </c>
      <c r="H268" s="4">
        <f>VLOOKUP(E268,TABLE!$B$1:$C$137,2,FALSE)</f>
        <v>55.28</v>
      </c>
      <c r="I268" s="4">
        <f t="shared" si="9"/>
        <v>55.28</v>
      </c>
      <c r="J268" s="3" t="s">
        <v>15</v>
      </c>
    </row>
    <row r="269" spans="1:10" ht="18">
      <c r="A269" s="100">
        <v>45778</v>
      </c>
      <c r="B269" s="100" t="s">
        <v>86</v>
      </c>
      <c r="C269" s="3">
        <v>2025</v>
      </c>
      <c r="D269" s="3" t="s">
        <v>12</v>
      </c>
      <c r="E269" s="97" t="s">
        <v>62</v>
      </c>
      <c r="F269" s="97"/>
      <c r="G269" s="90">
        <v>28</v>
      </c>
      <c r="H269" s="4">
        <f>VLOOKUP(E269,TABLE!$B$1:$C$137,2,FALSE)</f>
        <v>43.37</v>
      </c>
      <c r="I269" s="4">
        <f t="shared" si="9"/>
        <v>1214.3599999999999</v>
      </c>
      <c r="J269" s="3" t="s">
        <v>93</v>
      </c>
    </row>
    <row r="270" spans="1:10" ht="18">
      <c r="A270" s="100">
        <v>45778</v>
      </c>
      <c r="B270" s="100" t="s">
        <v>86</v>
      </c>
      <c r="C270" s="3">
        <v>2025</v>
      </c>
      <c r="D270" s="3" t="s">
        <v>12</v>
      </c>
      <c r="E270" s="97" t="s">
        <v>40</v>
      </c>
      <c r="F270" s="97"/>
      <c r="G270" s="90">
        <v>1</v>
      </c>
      <c r="H270" s="4">
        <f>VLOOKUP(E270,TABLE!$B$1:$C$137,2,FALSE)</f>
        <v>53.57</v>
      </c>
      <c r="I270" s="4">
        <f t="shared" si="9"/>
        <v>53.57</v>
      </c>
      <c r="J270" s="3" t="s">
        <v>13</v>
      </c>
    </row>
    <row r="271" spans="1:10" ht="18">
      <c r="A271" s="100">
        <v>45778</v>
      </c>
      <c r="B271" s="100" t="s">
        <v>86</v>
      </c>
      <c r="C271" s="3">
        <v>2025</v>
      </c>
      <c r="D271" s="3" t="s">
        <v>28</v>
      </c>
      <c r="E271" s="97" t="s">
        <v>27</v>
      </c>
      <c r="F271" s="97"/>
      <c r="G271" s="90">
        <v>22</v>
      </c>
      <c r="H271" s="4">
        <f>VLOOKUP(E271,TABLE!$B$1:$C$137,2,FALSE)</f>
        <v>11.59</v>
      </c>
      <c r="I271" s="4">
        <f t="shared" si="9"/>
        <v>254.98</v>
      </c>
      <c r="J271" s="3" t="s">
        <v>29</v>
      </c>
    </row>
    <row r="272" spans="1:10" ht="18">
      <c r="A272" s="100">
        <v>45778</v>
      </c>
      <c r="B272" s="100" t="s">
        <v>86</v>
      </c>
      <c r="C272" s="3">
        <v>2025</v>
      </c>
      <c r="D272" s="3" t="s">
        <v>28</v>
      </c>
      <c r="E272" s="97" t="s">
        <v>115</v>
      </c>
      <c r="F272" s="97"/>
      <c r="G272" s="90">
        <v>7</v>
      </c>
      <c r="H272" s="4">
        <f>VLOOKUP(E272,TABLE!$B$1:$C$137,2,FALSE)</f>
        <v>19.739999999999998</v>
      </c>
      <c r="I272" s="4">
        <f t="shared" si="9"/>
        <v>138.17999999999998</v>
      </c>
      <c r="J272" s="3" t="s">
        <v>246</v>
      </c>
    </row>
    <row r="273" spans="1:10" ht="18">
      <c r="A273" s="100">
        <v>45778</v>
      </c>
      <c r="B273" s="100" t="s">
        <v>86</v>
      </c>
      <c r="C273" s="3">
        <v>2025</v>
      </c>
      <c r="D273" s="3" t="s">
        <v>28</v>
      </c>
      <c r="E273" s="97" t="s">
        <v>114</v>
      </c>
      <c r="F273" s="97"/>
      <c r="G273" s="90">
        <v>7</v>
      </c>
      <c r="H273" s="4">
        <f>VLOOKUP(E273,TABLE!$B$1:$C$137,2,FALSE)</f>
        <v>20.72</v>
      </c>
      <c r="I273" s="4">
        <f t="shared" si="9"/>
        <v>145.04</v>
      </c>
      <c r="J273" s="3" t="s">
        <v>246</v>
      </c>
    </row>
    <row r="274" spans="1:10" ht="18">
      <c r="A274" s="100">
        <v>45778</v>
      </c>
      <c r="B274" s="100" t="s">
        <v>86</v>
      </c>
      <c r="C274" s="3">
        <v>2025</v>
      </c>
      <c r="D274" s="3" t="s">
        <v>28</v>
      </c>
      <c r="E274" s="97" t="s">
        <v>111</v>
      </c>
      <c r="F274" s="97"/>
      <c r="G274" s="90">
        <v>172</v>
      </c>
      <c r="H274" s="4">
        <f>VLOOKUP(E274,TABLE!$B$1:$C$137,2,FALSE)</f>
        <v>23.07</v>
      </c>
      <c r="I274" s="4">
        <f t="shared" si="9"/>
        <v>3968.04</v>
      </c>
      <c r="J274" s="3" t="s">
        <v>259</v>
      </c>
    </row>
    <row r="275" spans="1:10" ht="18">
      <c r="A275" s="100">
        <v>45778</v>
      </c>
      <c r="B275" s="100" t="s">
        <v>86</v>
      </c>
      <c r="C275" s="3">
        <v>2025</v>
      </c>
      <c r="D275" s="3" t="s">
        <v>28</v>
      </c>
      <c r="E275" s="97" t="s">
        <v>109</v>
      </c>
      <c r="F275" s="97"/>
      <c r="G275" s="90">
        <v>5</v>
      </c>
      <c r="H275" s="4">
        <f>VLOOKUP(E275,TABLE!$B$1:$C$137,2,FALSE)</f>
        <v>19.75</v>
      </c>
      <c r="I275" s="4">
        <f t="shared" si="9"/>
        <v>98.75</v>
      </c>
      <c r="J275" s="3" t="s">
        <v>246</v>
      </c>
    </row>
    <row r="276" spans="1:10" ht="18">
      <c r="A276" s="100">
        <v>45778</v>
      </c>
      <c r="B276" s="100" t="s">
        <v>86</v>
      </c>
      <c r="C276" s="3">
        <v>2025</v>
      </c>
      <c r="D276" s="3" t="s">
        <v>28</v>
      </c>
      <c r="E276" s="97" t="s">
        <v>107</v>
      </c>
      <c r="F276" s="97"/>
      <c r="G276" s="90">
        <v>5</v>
      </c>
      <c r="H276" s="4">
        <f>VLOOKUP(E276,TABLE!$B$1:$C$137,2,FALSE)</f>
        <v>82.97</v>
      </c>
      <c r="I276" s="4">
        <f t="shared" si="9"/>
        <v>414.85</v>
      </c>
      <c r="J276" s="3" t="s">
        <v>246</v>
      </c>
    </row>
    <row r="277" spans="1:10" ht="18">
      <c r="A277" s="100">
        <v>45778</v>
      </c>
      <c r="B277" s="100" t="s">
        <v>86</v>
      </c>
      <c r="C277" s="3">
        <v>2025</v>
      </c>
      <c r="D277" s="3" t="s">
        <v>28</v>
      </c>
      <c r="E277" s="97" t="s">
        <v>27</v>
      </c>
      <c r="F277" s="97"/>
      <c r="G277" s="90">
        <v>14</v>
      </c>
      <c r="H277" s="4">
        <f>VLOOKUP(E277,TABLE!$B$1:$C$137,2,FALSE)</f>
        <v>11.59</v>
      </c>
      <c r="I277" s="4">
        <f t="shared" si="9"/>
        <v>162.26</v>
      </c>
      <c r="J277" s="3" t="s">
        <v>246</v>
      </c>
    </row>
    <row r="278" spans="1:10" ht="18">
      <c r="A278" s="100">
        <v>45778</v>
      </c>
      <c r="B278" s="100" t="s">
        <v>86</v>
      </c>
      <c r="C278" s="3">
        <v>2025</v>
      </c>
      <c r="D278" s="3" t="s">
        <v>28</v>
      </c>
      <c r="E278" s="97" t="s">
        <v>84</v>
      </c>
      <c r="F278" s="97"/>
      <c r="G278" s="90">
        <v>14</v>
      </c>
      <c r="H278" s="4">
        <f>VLOOKUP(E278,TABLE!$B$1:$C$137,2,FALSE)</f>
        <v>15.38</v>
      </c>
      <c r="I278" s="4">
        <f t="shared" si="9"/>
        <v>215.32000000000002</v>
      </c>
      <c r="J278" s="3" t="s">
        <v>244</v>
      </c>
    </row>
    <row r="279" spans="1:10" ht="18">
      <c r="A279" s="100">
        <v>45778</v>
      </c>
      <c r="B279" s="100" t="s">
        <v>86</v>
      </c>
      <c r="C279" s="3">
        <v>2025</v>
      </c>
      <c r="D279" s="3" t="s">
        <v>28</v>
      </c>
      <c r="E279" s="97" t="s">
        <v>85</v>
      </c>
      <c r="F279" s="97"/>
      <c r="G279" s="90">
        <v>3</v>
      </c>
      <c r="H279" s="4">
        <f>VLOOKUP(E279,TABLE!$B$1:$C$137,2,FALSE)</f>
        <v>19.55</v>
      </c>
      <c r="I279" s="4">
        <f t="shared" si="9"/>
        <v>58.650000000000006</v>
      </c>
      <c r="J279" s="3" t="s">
        <v>244</v>
      </c>
    </row>
    <row r="280" spans="1:10" ht="18">
      <c r="A280" s="100">
        <v>45778</v>
      </c>
      <c r="B280" s="100" t="s">
        <v>86</v>
      </c>
      <c r="C280" s="3">
        <v>2025</v>
      </c>
      <c r="D280" s="3" t="s">
        <v>28</v>
      </c>
      <c r="E280" s="97" t="s">
        <v>25</v>
      </c>
      <c r="F280" s="97"/>
      <c r="G280" s="90">
        <v>13</v>
      </c>
      <c r="H280" s="4">
        <f>VLOOKUP(E280,TABLE!$B$1:$C$137,2,FALSE)</f>
        <v>20.04</v>
      </c>
      <c r="I280" s="4">
        <f t="shared" si="9"/>
        <v>260.52</v>
      </c>
      <c r="J280" s="3" t="s">
        <v>244</v>
      </c>
    </row>
    <row r="281" spans="1:10" ht="18">
      <c r="A281" s="100">
        <v>45778</v>
      </c>
      <c r="B281" s="100" t="s">
        <v>86</v>
      </c>
      <c r="C281" s="3">
        <v>2025</v>
      </c>
      <c r="D281" s="3" t="s">
        <v>28</v>
      </c>
      <c r="E281" s="97" t="s">
        <v>90</v>
      </c>
      <c r="F281" s="97"/>
      <c r="G281" s="90">
        <v>1</v>
      </c>
      <c r="H281" s="4">
        <f>VLOOKUP(E281,TABLE!$B$1:$C$137,2,FALSE)</f>
        <v>40.71</v>
      </c>
      <c r="I281" s="4">
        <f t="shared" si="9"/>
        <v>40.71</v>
      </c>
      <c r="J281" s="3" t="s">
        <v>244</v>
      </c>
    </row>
    <row r="282" spans="1:10" ht="18">
      <c r="A282" s="100">
        <v>45809</v>
      </c>
      <c r="B282" s="3" t="s">
        <v>91</v>
      </c>
      <c r="C282" s="3">
        <v>2025</v>
      </c>
      <c r="D282" s="3" t="s">
        <v>7</v>
      </c>
      <c r="E282" s="96" t="s">
        <v>254</v>
      </c>
      <c r="F282" s="96"/>
      <c r="G282" s="90">
        <v>55</v>
      </c>
      <c r="H282" s="4">
        <f>VLOOKUP(E282,TABLE!$B$1:$C$137,2,FALSE)</f>
        <v>76.89</v>
      </c>
      <c r="I282" s="4">
        <f t="shared" ref="I282:I299" si="10">G282*H282</f>
        <v>4228.95</v>
      </c>
      <c r="J282" s="3" t="s">
        <v>13</v>
      </c>
    </row>
    <row r="283" spans="1:10" ht="18">
      <c r="A283" s="100">
        <v>45809</v>
      </c>
      <c r="B283" s="3" t="s">
        <v>91</v>
      </c>
      <c r="C283" s="3">
        <v>2025</v>
      </c>
      <c r="D283" s="3" t="s">
        <v>7</v>
      </c>
      <c r="E283" s="97" t="s">
        <v>9</v>
      </c>
      <c r="F283" s="97"/>
      <c r="G283" s="90">
        <v>4</v>
      </c>
      <c r="H283" s="4">
        <f>VLOOKUP(E283,TABLE!$B$1:$C$137,2,FALSE)</f>
        <v>114.33</v>
      </c>
      <c r="I283" s="4">
        <f t="shared" si="10"/>
        <v>457.32</v>
      </c>
      <c r="J283" s="3" t="s">
        <v>13</v>
      </c>
    </row>
    <row r="284" spans="1:10" ht="18">
      <c r="A284" s="100">
        <v>45809</v>
      </c>
      <c r="B284" s="3" t="s">
        <v>91</v>
      </c>
      <c r="C284" s="3">
        <v>2025</v>
      </c>
      <c r="D284" s="3" t="s">
        <v>7</v>
      </c>
      <c r="E284" s="97" t="s">
        <v>36</v>
      </c>
      <c r="F284" s="97"/>
      <c r="G284" s="90">
        <v>5</v>
      </c>
      <c r="H284" s="4">
        <f>VLOOKUP(E284,TABLE!$B$1:$C$137,2,FALSE)</f>
        <v>358</v>
      </c>
      <c r="I284" s="4">
        <f t="shared" si="10"/>
        <v>1790</v>
      </c>
      <c r="J284" s="3" t="s">
        <v>13</v>
      </c>
    </row>
    <row r="285" spans="1:10" ht="18">
      <c r="A285" s="100">
        <v>45809</v>
      </c>
      <c r="B285" s="3" t="s">
        <v>91</v>
      </c>
      <c r="C285" s="3">
        <v>2025</v>
      </c>
      <c r="D285" s="3" t="s">
        <v>7</v>
      </c>
      <c r="E285" s="97" t="s">
        <v>31</v>
      </c>
      <c r="F285" s="97"/>
      <c r="G285" s="90">
        <v>2</v>
      </c>
      <c r="H285" s="4">
        <f>VLOOKUP(E285,TABLE!$B$1:$C$137,2,FALSE)</f>
        <v>85.75</v>
      </c>
      <c r="I285" s="4">
        <f t="shared" si="10"/>
        <v>171.5</v>
      </c>
      <c r="J285" s="3" t="s">
        <v>13</v>
      </c>
    </row>
    <row r="286" spans="1:10" ht="18">
      <c r="A286" s="100">
        <v>45809</v>
      </c>
      <c r="B286" s="3" t="s">
        <v>91</v>
      </c>
      <c r="C286" s="3">
        <v>2025</v>
      </c>
      <c r="D286" s="3" t="s">
        <v>7</v>
      </c>
      <c r="E286" s="97" t="s">
        <v>162</v>
      </c>
      <c r="F286" s="97"/>
      <c r="G286" s="90">
        <v>3</v>
      </c>
      <c r="H286" s="4">
        <f>VLOOKUP(E286,TABLE!$B$1:$C$137,2,FALSE)</f>
        <v>95.66</v>
      </c>
      <c r="I286" s="4">
        <f t="shared" si="10"/>
        <v>286.98</v>
      </c>
      <c r="J286" s="3" t="s">
        <v>13</v>
      </c>
    </row>
    <row r="287" spans="1:10" ht="18">
      <c r="A287" s="100">
        <v>45809</v>
      </c>
      <c r="B287" s="3" t="s">
        <v>91</v>
      </c>
      <c r="C287" s="3">
        <v>2025</v>
      </c>
      <c r="D287" s="3" t="s">
        <v>7</v>
      </c>
      <c r="E287" s="97" t="s">
        <v>73</v>
      </c>
      <c r="F287" s="97"/>
      <c r="G287" s="90">
        <v>2</v>
      </c>
      <c r="H287" s="4">
        <f>VLOOKUP(E287,TABLE!$B$1:$C$137,2,FALSE)</f>
        <v>97.22</v>
      </c>
      <c r="I287" s="4">
        <f t="shared" si="10"/>
        <v>194.44</v>
      </c>
      <c r="J287" s="3" t="s">
        <v>13</v>
      </c>
    </row>
    <row r="288" spans="1:10" ht="18">
      <c r="A288" s="100">
        <v>45809</v>
      </c>
      <c r="B288" s="3" t="s">
        <v>91</v>
      </c>
      <c r="C288" s="3">
        <v>2025</v>
      </c>
      <c r="D288" s="3" t="s">
        <v>7</v>
      </c>
      <c r="E288" s="97" t="s">
        <v>3</v>
      </c>
      <c r="F288" s="97"/>
      <c r="G288" s="90">
        <v>17</v>
      </c>
      <c r="H288" s="4">
        <f>VLOOKUP(E288,TABLE!$B$1:$C$137,2,FALSE)</f>
        <v>85</v>
      </c>
      <c r="I288" s="4">
        <f t="shared" si="10"/>
        <v>1445</v>
      </c>
      <c r="J288" s="3" t="s">
        <v>13</v>
      </c>
    </row>
    <row r="289" spans="1:10" ht="18">
      <c r="A289" s="100">
        <v>45809</v>
      </c>
      <c r="B289" s="3" t="s">
        <v>91</v>
      </c>
      <c r="C289" s="3">
        <v>2025</v>
      </c>
      <c r="D289" s="3" t="s">
        <v>7</v>
      </c>
      <c r="E289" s="97" t="s">
        <v>71</v>
      </c>
      <c r="F289" s="97"/>
      <c r="G289" s="90">
        <v>11</v>
      </c>
      <c r="H289" s="4">
        <f>VLOOKUP(E289,TABLE!$B$1:$C$137,2,FALSE)</f>
        <v>72.31</v>
      </c>
      <c r="I289" s="4">
        <f t="shared" si="10"/>
        <v>795.41000000000008</v>
      </c>
      <c r="J289" s="3" t="s">
        <v>32</v>
      </c>
    </row>
    <row r="290" spans="1:10" ht="18">
      <c r="A290" s="100">
        <v>45809</v>
      </c>
      <c r="B290" s="3" t="s">
        <v>91</v>
      </c>
      <c r="C290" s="3">
        <v>2025</v>
      </c>
      <c r="D290" s="3" t="s">
        <v>7</v>
      </c>
      <c r="E290" s="45" t="s">
        <v>247</v>
      </c>
      <c r="F290" s="45"/>
      <c r="G290" s="90">
        <v>5</v>
      </c>
      <c r="H290" s="4">
        <f>VLOOKUP(E290,TABLE!$B$1:$C$137,2,FALSE)</f>
        <v>30.18</v>
      </c>
      <c r="I290" s="4">
        <f t="shared" si="10"/>
        <v>150.9</v>
      </c>
      <c r="J290" s="3" t="s">
        <v>246</v>
      </c>
    </row>
    <row r="291" spans="1:10" ht="18">
      <c r="A291" s="100">
        <v>45809</v>
      </c>
      <c r="B291" s="3" t="s">
        <v>91</v>
      </c>
      <c r="C291" s="3">
        <v>2025</v>
      </c>
      <c r="D291" s="3" t="s">
        <v>28</v>
      </c>
      <c r="E291" s="97" t="s">
        <v>3</v>
      </c>
      <c r="F291" s="97"/>
      <c r="G291" s="90">
        <v>1</v>
      </c>
      <c r="H291" s="4">
        <f>VLOOKUP(E291,TABLE!$B$1:$C$137,2,FALSE)</f>
        <v>85</v>
      </c>
      <c r="I291" s="4">
        <f t="shared" si="10"/>
        <v>85</v>
      </c>
      <c r="J291" s="3" t="s">
        <v>244</v>
      </c>
    </row>
    <row r="292" spans="1:10" ht="18">
      <c r="A292" s="100">
        <v>45809</v>
      </c>
      <c r="B292" s="3" t="s">
        <v>91</v>
      </c>
      <c r="C292" s="3">
        <v>2025</v>
      </c>
      <c r="D292" s="3" t="s">
        <v>28</v>
      </c>
      <c r="E292" s="97" t="s">
        <v>137</v>
      </c>
      <c r="F292" s="97"/>
      <c r="G292" s="90">
        <v>1</v>
      </c>
      <c r="H292" s="4">
        <f>VLOOKUP(E292,TABLE!$B$1:$C$137,2,FALSE)</f>
        <v>108.39</v>
      </c>
      <c r="I292" s="4">
        <f t="shared" si="10"/>
        <v>108.39</v>
      </c>
      <c r="J292" s="3" t="s">
        <v>244</v>
      </c>
    </row>
    <row r="293" spans="1:10" ht="18">
      <c r="A293" s="100">
        <v>45809</v>
      </c>
      <c r="B293" s="3" t="s">
        <v>91</v>
      </c>
      <c r="C293" s="3">
        <v>2025</v>
      </c>
      <c r="D293" s="3" t="s">
        <v>12</v>
      </c>
      <c r="E293" s="97" t="s">
        <v>14</v>
      </c>
      <c r="F293" s="97"/>
      <c r="G293" s="90">
        <v>7</v>
      </c>
      <c r="H293" s="4">
        <f>VLOOKUP(E293,TABLE!$B$1:$C$137,2,FALSE)</f>
        <v>49.25</v>
      </c>
      <c r="I293" s="4">
        <f t="shared" si="10"/>
        <v>344.75</v>
      </c>
      <c r="J293" s="3" t="s">
        <v>13</v>
      </c>
    </row>
    <row r="294" spans="1:10" ht="18">
      <c r="A294" s="100">
        <v>45809</v>
      </c>
      <c r="B294" s="3" t="s">
        <v>91</v>
      </c>
      <c r="C294" s="3">
        <v>2025</v>
      </c>
      <c r="D294" s="3" t="s">
        <v>12</v>
      </c>
      <c r="E294" s="97" t="s">
        <v>11</v>
      </c>
      <c r="F294" s="97"/>
      <c r="G294" s="90">
        <v>2</v>
      </c>
      <c r="H294" s="4">
        <f>VLOOKUP(E294,TABLE!$B$1:$C$137,2,FALSE)</f>
        <v>32.32</v>
      </c>
      <c r="I294" s="4">
        <f t="shared" si="10"/>
        <v>64.64</v>
      </c>
      <c r="J294" s="3" t="s">
        <v>13</v>
      </c>
    </row>
    <row r="295" spans="1:10" ht="18">
      <c r="A295" s="100">
        <v>45809</v>
      </c>
      <c r="B295" s="3" t="s">
        <v>91</v>
      </c>
      <c r="C295" s="3">
        <v>2025</v>
      </c>
      <c r="D295" s="3" t="s">
        <v>12</v>
      </c>
      <c r="E295" s="97" t="s">
        <v>39</v>
      </c>
      <c r="F295" s="97"/>
      <c r="G295" s="90">
        <v>1</v>
      </c>
      <c r="H295" s="4">
        <f>VLOOKUP(E295,TABLE!$B$1:$C$137,2,FALSE)</f>
        <v>34.83</v>
      </c>
      <c r="I295" s="4">
        <f t="shared" si="10"/>
        <v>34.83</v>
      </c>
      <c r="J295" s="3" t="s">
        <v>13</v>
      </c>
    </row>
    <row r="296" spans="1:10" ht="18">
      <c r="A296" s="100">
        <v>45809</v>
      </c>
      <c r="B296" s="3" t="s">
        <v>91</v>
      </c>
      <c r="C296" s="3">
        <v>2025</v>
      </c>
      <c r="D296" s="3" t="s">
        <v>12</v>
      </c>
      <c r="E296" s="97" t="s">
        <v>14</v>
      </c>
      <c r="F296" s="97"/>
      <c r="G296" s="90">
        <v>4</v>
      </c>
      <c r="H296" s="4">
        <f>VLOOKUP(E296,TABLE!$B$1:$C$137,2,FALSE)</f>
        <v>49.25</v>
      </c>
      <c r="I296" s="4">
        <f t="shared" si="10"/>
        <v>197</v>
      </c>
      <c r="J296" s="3" t="s">
        <v>15</v>
      </c>
    </row>
    <row r="297" spans="1:10" ht="18">
      <c r="A297" s="100">
        <v>45809</v>
      </c>
      <c r="B297" s="3" t="s">
        <v>91</v>
      </c>
      <c r="C297" s="3">
        <v>2025</v>
      </c>
      <c r="D297" s="3" t="s">
        <v>12</v>
      </c>
      <c r="E297" s="97" t="s">
        <v>19</v>
      </c>
      <c r="F297" s="97"/>
      <c r="G297" s="90">
        <v>3</v>
      </c>
      <c r="H297" s="4">
        <f>VLOOKUP(E297,TABLE!$B$1:$C$137,2,FALSE)</f>
        <v>23.91</v>
      </c>
      <c r="I297" s="4">
        <f t="shared" si="10"/>
        <v>71.73</v>
      </c>
      <c r="J297" s="3" t="s">
        <v>15</v>
      </c>
    </row>
    <row r="298" spans="1:10" ht="18">
      <c r="A298" s="100">
        <v>45809</v>
      </c>
      <c r="B298" s="3" t="s">
        <v>91</v>
      </c>
      <c r="C298" s="3">
        <v>2025</v>
      </c>
      <c r="D298" s="3" t="s">
        <v>12</v>
      </c>
      <c r="E298" s="97" t="s">
        <v>125</v>
      </c>
      <c r="F298" s="97"/>
      <c r="G298" s="90">
        <v>1</v>
      </c>
      <c r="H298" s="4">
        <f>VLOOKUP(E298,TABLE!$B$1:$C$137,2,FALSE)</f>
        <v>26.1</v>
      </c>
      <c r="I298" s="4">
        <f t="shared" si="10"/>
        <v>26.1</v>
      </c>
      <c r="J298" s="3" t="s">
        <v>15</v>
      </c>
    </row>
    <row r="299" spans="1:10" ht="18">
      <c r="A299" s="100">
        <v>45809</v>
      </c>
      <c r="B299" s="3" t="s">
        <v>91</v>
      </c>
      <c r="C299" s="3">
        <v>2025</v>
      </c>
      <c r="D299" s="3" t="s">
        <v>12</v>
      </c>
      <c r="E299" s="97" t="s">
        <v>38</v>
      </c>
      <c r="F299" s="97"/>
      <c r="G299" s="90">
        <v>7</v>
      </c>
      <c r="H299" s="4">
        <f>VLOOKUP(E299,TABLE!$B$1:$C$137,2,FALSE)</f>
        <v>27.14</v>
      </c>
      <c r="I299" s="4">
        <f t="shared" si="10"/>
        <v>189.98000000000002</v>
      </c>
      <c r="J299" s="3" t="s">
        <v>15</v>
      </c>
    </row>
    <row r="300" spans="1:10" ht="18">
      <c r="A300" s="100">
        <v>45809</v>
      </c>
      <c r="B300" s="3" t="s">
        <v>91</v>
      </c>
      <c r="C300" s="3">
        <v>2025</v>
      </c>
      <c r="D300" s="3" t="s">
        <v>12</v>
      </c>
      <c r="E300" s="97" t="s">
        <v>39</v>
      </c>
      <c r="F300" s="97"/>
      <c r="G300" s="90">
        <v>1</v>
      </c>
      <c r="H300" s="4">
        <f>VLOOKUP(E300,TABLE!$B$1:$C$137,2,FALSE)</f>
        <v>34.83</v>
      </c>
      <c r="I300" s="4">
        <f t="shared" ref="I300:I303" si="11">G300*H300</f>
        <v>34.83</v>
      </c>
      <c r="J300" s="3" t="s">
        <v>15</v>
      </c>
    </row>
    <row r="301" spans="1:10" ht="18">
      <c r="A301" s="100">
        <v>45809</v>
      </c>
      <c r="B301" s="3" t="s">
        <v>91</v>
      </c>
      <c r="C301" s="3">
        <v>2025</v>
      </c>
      <c r="D301" s="3" t="s">
        <v>12</v>
      </c>
      <c r="E301" s="97" t="s">
        <v>20</v>
      </c>
      <c r="F301" s="97"/>
      <c r="G301" s="90">
        <v>8</v>
      </c>
      <c r="H301" s="4">
        <f>VLOOKUP(E301,TABLE!$B$1:$C$137,2,FALSE)</f>
        <v>38.270000000000003</v>
      </c>
      <c r="I301" s="4">
        <f t="shared" si="11"/>
        <v>306.16000000000003</v>
      </c>
      <c r="J301" s="3" t="s">
        <v>15</v>
      </c>
    </row>
    <row r="302" spans="1:10" ht="18">
      <c r="A302" s="100">
        <v>45809</v>
      </c>
      <c r="B302" s="3" t="s">
        <v>91</v>
      </c>
      <c r="C302" s="3">
        <v>2025</v>
      </c>
      <c r="D302" s="3" t="s">
        <v>12</v>
      </c>
      <c r="E302" s="97" t="s">
        <v>21</v>
      </c>
      <c r="F302" s="97"/>
      <c r="G302" s="90">
        <v>8</v>
      </c>
      <c r="H302" s="4">
        <f>VLOOKUP(E302,TABLE!$B$1:$C$137,2,FALSE)</f>
        <v>44.78</v>
      </c>
      <c r="I302" s="4">
        <f t="shared" si="11"/>
        <v>358.24</v>
      </c>
      <c r="J302" s="3" t="s">
        <v>15</v>
      </c>
    </row>
    <row r="303" spans="1:10" ht="18">
      <c r="A303" s="100">
        <v>45809</v>
      </c>
      <c r="B303" s="3" t="s">
        <v>91</v>
      </c>
      <c r="C303" s="3">
        <v>2025</v>
      </c>
      <c r="D303" s="3" t="s">
        <v>12</v>
      </c>
      <c r="E303" s="97" t="s">
        <v>77</v>
      </c>
      <c r="F303" s="97"/>
      <c r="G303" s="90">
        <v>1</v>
      </c>
      <c r="H303" s="4">
        <f>VLOOKUP(E303,TABLE!$B$1:$C$137,2,FALSE)</f>
        <v>38.94</v>
      </c>
      <c r="I303" s="4">
        <f t="shared" si="11"/>
        <v>38.94</v>
      </c>
      <c r="J303" s="3" t="s">
        <v>15</v>
      </c>
    </row>
    <row r="304" spans="1:10" ht="18">
      <c r="A304" s="100">
        <v>45809</v>
      </c>
      <c r="B304" s="3" t="s">
        <v>91</v>
      </c>
      <c r="C304" s="3">
        <v>2025</v>
      </c>
      <c r="D304" s="3" t="s">
        <v>28</v>
      </c>
      <c r="E304" s="97" t="s">
        <v>237</v>
      </c>
      <c r="F304" s="97"/>
      <c r="G304" s="90">
        <v>4</v>
      </c>
      <c r="H304" s="4">
        <f>VLOOKUP(E304,TABLE!$B$1:$C$137,2,FALSE)</f>
        <v>5.99</v>
      </c>
      <c r="I304" s="4">
        <f t="shared" ref="I304:I306" si="12">G304*H304</f>
        <v>23.96</v>
      </c>
      <c r="J304" s="3" t="s">
        <v>29</v>
      </c>
    </row>
    <row r="305" spans="1:10" ht="18">
      <c r="A305" s="100">
        <v>45809</v>
      </c>
      <c r="B305" s="3" t="s">
        <v>91</v>
      </c>
      <c r="C305" s="3">
        <v>2025</v>
      </c>
      <c r="D305" s="3" t="s">
        <v>28</v>
      </c>
      <c r="E305" s="97" t="s">
        <v>85</v>
      </c>
      <c r="F305" s="97"/>
      <c r="G305" s="90">
        <v>105</v>
      </c>
      <c r="H305" s="4">
        <f>VLOOKUP(E305,TABLE!$B$1:$C$137,2,FALSE)</f>
        <v>19.55</v>
      </c>
      <c r="I305" s="4">
        <f t="shared" si="12"/>
        <v>2052.75</v>
      </c>
      <c r="J305" s="3" t="s">
        <v>246</v>
      </c>
    </row>
    <row r="306" spans="1:10" ht="18">
      <c r="A306" s="100">
        <v>45809</v>
      </c>
      <c r="B306" s="3" t="s">
        <v>91</v>
      </c>
      <c r="C306" s="3">
        <v>2025</v>
      </c>
      <c r="D306" s="3" t="s">
        <v>28</v>
      </c>
      <c r="E306" s="97" t="s">
        <v>27</v>
      </c>
      <c r="F306" s="97"/>
      <c r="G306" s="90">
        <v>53</v>
      </c>
      <c r="H306" s="4">
        <f>VLOOKUP(E306,TABLE!$B$1:$C$137,2,FALSE)</f>
        <v>11.59</v>
      </c>
      <c r="I306" s="4">
        <f t="shared" si="12"/>
        <v>614.27</v>
      </c>
      <c r="J306" s="3" t="s">
        <v>246</v>
      </c>
    </row>
    <row r="307" spans="1:10" ht="18">
      <c r="A307" s="100">
        <v>45809</v>
      </c>
      <c r="B307" s="3" t="s">
        <v>91</v>
      </c>
      <c r="C307" s="3">
        <v>2025</v>
      </c>
      <c r="D307" s="3" t="s">
        <v>28</v>
      </c>
      <c r="E307" s="97" t="s">
        <v>114</v>
      </c>
      <c r="F307" s="97"/>
      <c r="G307" s="90">
        <v>1</v>
      </c>
      <c r="H307" s="4">
        <f>VLOOKUP(E307,TABLE!$B$1:$C$137,2,FALSE)</f>
        <v>20.72</v>
      </c>
      <c r="I307" s="4">
        <f t="shared" ref="I307:I318" si="13">G307*H307</f>
        <v>20.72</v>
      </c>
      <c r="J307" s="3" t="s">
        <v>244</v>
      </c>
    </row>
    <row r="308" spans="1:10" ht="18">
      <c r="A308" s="100">
        <v>45809</v>
      </c>
      <c r="B308" s="3" t="s">
        <v>91</v>
      </c>
      <c r="C308" s="3">
        <v>2025</v>
      </c>
      <c r="D308" s="3" t="s">
        <v>28</v>
      </c>
      <c r="E308" s="97" t="s">
        <v>25</v>
      </c>
      <c r="F308" s="97"/>
      <c r="G308" s="90">
        <v>1</v>
      </c>
      <c r="H308" s="4">
        <f>VLOOKUP(E308,TABLE!$B$1:$C$137,2,FALSE)</f>
        <v>20.04</v>
      </c>
      <c r="I308" s="4">
        <f t="shared" si="13"/>
        <v>20.04</v>
      </c>
      <c r="J308" s="3" t="s">
        <v>244</v>
      </c>
    </row>
    <row r="309" spans="1:10">
      <c r="A309" s="100">
        <v>46059</v>
      </c>
      <c r="B309" s="3" t="s">
        <v>269</v>
      </c>
      <c r="C309" s="3">
        <v>2026</v>
      </c>
      <c r="D309" s="3" t="s">
        <v>12</v>
      </c>
      <c r="E309" s="110" t="s">
        <v>21</v>
      </c>
      <c r="F309" s="107" t="s">
        <v>289</v>
      </c>
      <c r="G309" s="29">
        <v>1</v>
      </c>
      <c r="H309" s="4">
        <f>VLOOKUP(E309,TABLE!$B$1:$C$137,2,FALSE)</f>
        <v>44.78</v>
      </c>
      <c r="I309" s="4">
        <f t="shared" si="13"/>
        <v>44.78</v>
      </c>
      <c r="J309" s="3" t="s">
        <v>251</v>
      </c>
    </row>
    <row r="310" spans="1:10" ht="18">
      <c r="A310" s="100">
        <v>46059</v>
      </c>
      <c r="B310" s="3" t="s">
        <v>269</v>
      </c>
      <c r="C310" s="3">
        <v>2026</v>
      </c>
      <c r="D310" s="3" t="s">
        <v>283</v>
      </c>
      <c r="E310" s="97" t="s">
        <v>71</v>
      </c>
      <c r="F310" s="107" t="s">
        <v>292</v>
      </c>
      <c r="G310" s="29">
        <v>3</v>
      </c>
      <c r="H310" s="4">
        <f>VLOOKUP(E310,TABLE!$B$1:$C$137,2,FALSE)</f>
        <v>72.31</v>
      </c>
      <c r="I310" s="4">
        <f t="shared" si="13"/>
        <v>216.93</v>
      </c>
      <c r="J310" s="3" t="s">
        <v>282</v>
      </c>
    </row>
    <row r="311" spans="1:10">
      <c r="A311" s="100">
        <v>46059</v>
      </c>
      <c r="B311" s="3" t="s">
        <v>269</v>
      </c>
      <c r="C311" s="3">
        <v>2026</v>
      </c>
      <c r="D311" s="3" t="s">
        <v>12</v>
      </c>
      <c r="E311" s="110" t="s">
        <v>20</v>
      </c>
      <c r="F311" s="107" t="s">
        <v>290</v>
      </c>
      <c r="G311" s="29">
        <v>1</v>
      </c>
      <c r="H311" s="4">
        <f>VLOOKUP(E311,TABLE!$B$1:$C$137,2,FALSE)</f>
        <v>38.270000000000003</v>
      </c>
      <c r="I311" s="4">
        <f t="shared" si="13"/>
        <v>38.270000000000003</v>
      </c>
      <c r="J311" s="3" t="s">
        <v>251</v>
      </c>
    </row>
    <row r="312" spans="1:10">
      <c r="A312" s="100">
        <v>46059</v>
      </c>
      <c r="B312" s="3" t="s">
        <v>269</v>
      </c>
      <c r="C312" s="3">
        <v>2026</v>
      </c>
      <c r="D312" s="3" t="s">
        <v>12</v>
      </c>
      <c r="E312" s="110" t="s">
        <v>39</v>
      </c>
      <c r="F312" s="107" t="s">
        <v>288</v>
      </c>
      <c r="G312" s="29">
        <v>4</v>
      </c>
      <c r="H312" s="4">
        <f>VLOOKUP(E312,TABLE!$B$1:$C$137,2,FALSE)</f>
        <v>34.83</v>
      </c>
      <c r="I312" s="4">
        <f t="shared" si="13"/>
        <v>139.32</v>
      </c>
      <c r="J312" s="3" t="s">
        <v>284</v>
      </c>
    </row>
    <row r="313" spans="1:10">
      <c r="A313" s="100">
        <v>46059</v>
      </c>
      <c r="B313" s="3" t="s">
        <v>269</v>
      </c>
      <c r="C313" s="3">
        <v>2026</v>
      </c>
      <c r="D313" s="3" t="s">
        <v>283</v>
      </c>
      <c r="E313" s="39" t="s">
        <v>3</v>
      </c>
      <c r="F313" s="107" t="s">
        <v>293</v>
      </c>
      <c r="G313" s="29">
        <v>1</v>
      </c>
      <c r="H313" s="4">
        <f>VLOOKUP(E313,TABLE!$B$1:$C$137,2,FALSE)</f>
        <v>85</v>
      </c>
      <c r="I313" s="4">
        <f t="shared" si="13"/>
        <v>85</v>
      </c>
      <c r="J313" s="3" t="s">
        <v>284</v>
      </c>
    </row>
    <row r="314" spans="1:10">
      <c r="A314" s="100">
        <v>46059</v>
      </c>
      <c r="B314" s="3" t="s">
        <v>269</v>
      </c>
      <c r="C314" s="3">
        <v>2026</v>
      </c>
      <c r="D314" s="3" t="s">
        <v>283</v>
      </c>
      <c r="E314" s="39" t="s">
        <v>9</v>
      </c>
      <c r="F314" s="107" t="s">
        <v>294</v>
      </c>
      <c r="G314" s="29">
        <v>1</v>
      </c>
      <c r="H314" s="4">
        <f>VLOOKUP(E314,TABLE!$B$1:$C$137,2,FALSE)</f>
        <v>114.33</v>
      </c>
      <c r="I314" s="4">
        <f t="shared" si="13"/>
        <v>114.33</v>
      </c>
      <c r="J314" s="3" t="s">
        <v>284</v>
      </c>
    </row>
    <row r="315" spans="1:10">
      <c r="A315" s="100">
        <v>46059</v>
      </c>
      <c r="B315" s="3" t="s">
        <v>269</v>
      </c>
      <c r="C315" s="3">
        <v>2026</v>
      </c>
      <c r="D315" s="3" t="s">
        <v>12</v>
      </c>
      <c r="E315" s="32" t="s">
        <v>11</v>
      </c>
      <c r="F315" s="107" t="s">
        <v>286</v>
      </c>
      <c r="G315" s="29">
        <v>1</v>
      </c>
      <c r="H315" s="4">
        <f>VLOOKUP(E315,TABLE!$B$1:$C$137,2,FALSE)</f>
        <v>32.32</v>
      </c>
      <c r="I315" s="4">
        <f t="shared" si="13"/>
        <v>32.32</v>
      </c>
      <c r="J315" s="3" t="s">
        <v>251</v>
      </c>
    </row>
    <row r="316" spans="1:10">
      <c r="A316" s="100">
        <v>46059</v>
      </c>
      <c r="B316" s="3" t="s">
        <v>269</v>
      </c>
      <c r="C316" s="3">
        <v>2026</v>
      </c>
      <c r="D316" s="3" t="s">
        <v>12</v>
      </c>
      <c r="E316" s="32" t="s">
        <v>38</v>
      </c>
      <c r="F316" s="107" t="s">
        <v>287</v>
      </c>
      <c r="G316" s="29">
        <v>1</v>
      </c>
      <c r="H316" s="4">
        <f>VLOOKUP(E316,TABLE!$B$1:$C$137,2,FALSE)</f>
        <v>27.14</v>
      </c>
      <c r="I316" s="4">
        <f t="shared" si="13"/>
        <v>27.14</v>
      </c>
      <c r="J316" s="3" t="s">
        <v>251</v>
      </c>
    </row>
    <row r="317" spans="1:10">
      <c r="A317" s="100">
        <v>46059</v>
      </c>
      <c r="B317" s="3" t="s">
        <v>269</v>
      </c>
      <c r="C317" s="3">
        <v>2026</v>
      </c>
      <c r="D317" s="3" t="s">
        <v>12</v>
      </c>
      <c r="E317" s="32" t="s">
        <v>23</v>
      </c>
      <c r="F317" s="107" t="s">
        <v>291</v>
      </c>
      <c r="G317" s="29">
        <v>1</v>
      </c>
      <c r="H317" s="4">
        <f>VLOOKUP(E317,TABLE!$B$1:$C$137,2,FALSE)</f>
        <v>64.459999999999994</v>
      </c>
      <c r="I317" s="4">
        <f t="shared" si="13"/>
        <v>64.459999999999994</v>
      </c>
      <c r="J317" s="3" t="s">
        <v>284</v>
      </c>
    </row>
    <row r="318" spans="1:10">
      <c r="A318" s="100">
        <v>46059</v>
      </c>
      <c r="B318" s="3" t="s">
        <v>269</v>
      </c>
      <c r="C318" s="3">
        <v>2026</v>
      </c>
      <c r="D318" s="3" t="s">
        <v>28</v>
      </c>
      <c r="E318" s="32" t="s">
        <v>25</v>
      </c>
      <c r="F318" s="108" t="s">
        <v>295</v>
      </c>
      <c r="G318" s="29">
        <v>2</v>
      </c>
      <c r="H318" s="4">
        <f>VLOOKUP(E318,TABLE!$B$1:$C$137,2,FALSE)</f>
        <v>20.04</v>
      </c>
      <c r="I318" s="4">
        <f t="shared" si="13"/>
        <v>40.08</v>
      </c>
      <c r="J318" s="3" t="s">
        <v>285</v>
      </c>
    </row>
  </sheetData>
  <autoFilter ref="A1:J318" xr:uid="{037BD64C-5ABE-429A-A310-ECB460933B6C}">
    <sortState xmlns:xlrd2="http://schemas.microsoft.com/office/spreadsheetml/2017/richdata2" ref="A2:J281">
      <sortCondition ref="A1:A276"/>
    </sortState>
  </autoFilter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AA439B-5C7E-42A9-A1D7-7FD49A7079D0}">
          <x14:formula1>
            <xm:f>'SCRAP DATATABLE'!$O$2:$O$26</xm:f>
          </x14:formula1>
          <xm:sqref>J24:J29 J6:J8 J4 J20 J46 J225:J227 J192:J194 J75 J130 J146 J96:J97 J99 J163 J277:J281 J309:J317 J319:J1048576</xm:sqref>
        </x14:dataValidation>
        <x14:dataValidation type="list" allowBlank="1" showInputMessage="1" showErrorMessage="1" xr:uid="{A3679341-F015-4C26-807A-08F7E2A690D6}">
          <x14:formula1>
            <xm:f>'SCRAP DATATABLE'!$O$2:$O$27</xm:f>
          </x14:formula1>
          <xm:sqref>J51:J53 J211:J213 J58:J59 J125 J147 J157 J164:J167 J47:J49 J22:J23 J237:J240 J251 J267:J268 J270:J272 J282:J288 J293:J304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3F02-090E-4CFA-9BF5-C27A9E24AFDC}">
  <dimension ref="A3:I12"/>
  <sheetViews>
    <sheetView zoomScale="145" zoomScaleNormal="145" workbookViewId="0">
      <selection activeCell="G21" sqref="G21"/>
    </sheetView>
  </sheetViews>
  <sheetFormatPr defaultRowHeight="15"/>
  <cols>
    <col min="1" max="1" width="29.140625" bestFit="1" customWidth="1"/>
    <col min="2" max="2" width="16.28515625" bestFit="1" customWidth="1"/>
    <col min="3" max="3" width="13.42578125" bestFit="1" customWidth="1"/>
    <col min="4" max="4" width="14.28515625" bestFit="1" customWidth="1"/>
    <col min="5" max="5" width="6.85546875" bestFit="1" customWidth="1"/>
    <col min="6" max="6" width="9.140625" bestFit="1" customWidth="1"/>
    <col min="7" max="7" width="20.5703125" bestFit="1" customWidth="1"/>
    <col min="8" max="8" width="8.85546875" bestFit="1" customWidth="1"/>
    <col min="9" max="12" width="11.28515625" bestFit="1" customWidth="1"/>
    <col min="13" max="13" width="10" bestFit="1" customWidth="1"/>
    <col min="14" max="14" width="8.85546875" bestFit="1" customWidth="1"/>
    <col min="15" max="15" width="11.28515625" bestFit="1" customWidth="1"/>
  </cols>
  <sheetData>
    <row r="3" spans="1:9">
      <c r="A3" s="10" t="s">
        <v>6</v>
      </c>
      <c r="B3" t="s">
        <v>7</v>
      </c>
    </row>
    <row r="5" spans="1:9">
      <c r="A5" s="10" t="s">
        <v>51</v>
      </c>
      <c r="B5" s="10" t="s">
        <v>54</v>
      </c>
    </row>
    <row r="6" spans="1:9">
      <c r="A6" s="10" t="s">
        <v>52</v>
      </c>
      <c r="B6" t="s">
        <v>13</v>
      </c>
      <c r="C6" t="s">
        <v>243</v>
      </c>
      <c r="D6" t="s">
        <v>32</v>
      </c>
      <c r="E6" t="s">
        <v>179</v>
      </c>
      <c r="F6" t="s">
        <v>10</v>
      </c>
      <c r="G6" t="s">
        <v>246</v>
      </c>
      <c r="H6" t="s">
        <v>15</v>
      </c>
      <c r="I6" t="s">
        <v>53</v>
      </c>
    </row>
    <row r="7" spans="1:9">
      <c r="A7" s="11" t="s">
        <v>3</v>
      </c>
      <c r="B7" s="9">
        <v>36</v>
      </c>
      <c r="C7" s="9"/>
      <c r="D7" s="9"/>
      <c r="E7" s="9"/>
      <c r="F7" s="9">
        <v>14</v>
      </c>
      <c r="G7" s="9"/>
      <c r="H7" s="9"/>
      <c r="I7" s="9">
        <v>50</v>
      </c>
    </row>
    <row r="8" spans="1:9">
      <c r="A8" s="11" t="s">
        <v>9</v>
      </c>
      <c r="B8" s="9">
        <v>82</v>
      </c>
      <c r="C8" s="9"/>
      <c r="D8" s="9"/>
      <c r="E8" s="9"/>
      <c r="F8" s="9"/>
      <c r="G8" s="9"/>
      <c r="H8" s="9"/>
      <c r="I8" s="9">
        <v>82</v>
      </c>
    </row>
    <row r="9" spans="1:9">
      <c r="A9" s="11" t="s">
        <v>71</v>
      </c>
      <c r="B9" s="9">
        <v>65</v>
      </c>
      <c r="C9" s="9"/>
      <c r="D9" s="9">
        <v>38</v>
      </c>
      <c r="E9" s="9">
        <v>3</v>
      </c>
      <c r="F9" s="9"/>
      <c r="G9" s="9"/>
      <c r="H9" s="9">
        <v>2</v>
      </c>
      <c r="I9" s="9">
        <v>108</v>
      </c>
    </row>
    <row r="10" spans="1:9">
      <c r="A10" s="11" t="s">
        <v>31</v>
      </c>
      <c r="B10" s="9">
        <v>49</v>
      </c>
      <c r="C10" s="9"/>
      <c r="D10" s="9">
        <v>69</v>
      </c>
      <c r="E10" s="9"/>
      <c r="F10" s="9"/>
      <c r="G10" s="9"/>
      <c r="H10" s="9">
        <v>1</v>
      </c>
      <c r="I10" s="9">
        <v>119</v>
      </c>
    </row>
    <row r="11" spans="1:9">
      <c r="A11" s="11" t="s">
        <v>261</v>
      </c>
      <c r="B11" s="9">
        <v>382</v>
      </c>
      <c r="C11" s="9">
        <v>2</v>
      </c>
      <c r="D11" s="9"/>
      <c r="E11" s="9">
        <v>4</v>
      </c>
      <c r="F11" s="9"/>
      <c r="G11" s="9"/>
      <c r="H11" s="9">
        <v>1</v>
      </c>
      <c r="I11" s="9">
        <v>389</v>
      </c>
    </row>
    <row r="12" spans="1:9">
      <c r="A12" s="11" t="s">
        <v>53</v>
      </c>
      <c r="B12" s="9">
        <v>614</v>
      </c>
      <c r="C12" s="9">
        <v>2</v>
      </c>
      <c r="D12" s="9">
        <v>107</v>
      </c>
      <c r="E12" s="9">
        <v>7</v>
      </c>
      <c r="F12" s="9">
        <v>14</v>
      </c>
      <c r="G12" s="9"/>
      <c r="H12" s="9">
        <v>4</v>
      </c>
      <c r="I12" s="9">
        <v>748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F08A-8073-41D0-8CFA-B1A781777F0F}">
  <dimension ref="A2:F11"/>
  <sheetViews>
    <sheetView topLeftCell="A22" workbookViewId="0">
      <selection activeCell="K47" sqref="K47"/>
    </sheetView>
  </sheetViews>
  <sheetFormatPr defaultRowHeight="15"/>
  <cols>
    <col min="1" max="1" width="22.140625" bestFit="1" customWidth="1"/>
    <col min="2" max="2" width="16.28515625" bestFit="1" customWidth="1"/>
    <col min="3" max="3" width="8.85546875" bestFit="1" customWidth="1"/>
    <col min="4" max="4" width="9.140625" bestFit="1" customWidth="1"/>
    <col min="5" max="5" width="13.42578125" bestFit="1" customWidth="1"/>
    <col min="6" max="7" width="11.28515625" bestFit="1" customWidth="1"/>
    <col min="8" max="8" width="8.140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2" spans="1:6">
      <c r="A2" s="10" t="s">
        <v>6</v>
      </c>
      <c r="B2" t="s">
        <v>12</v>
      </c>
    </row>
    <row r="4" spans="1:6">
      <c r="A4" s="10" t="s">
        <v>51</v>
      </c>
      <c r="B4" s="10" t="s">
        <v>54</v>
      </c>
    </row>
    <row r="5" spans="1:6">
      <c r="A5" s="10" t="s">
        <v>52</v>
      </c>
      <c r="B5" t="s">
        <v>15</v>
      </c>
      <c r="C5" t="s">
        <v>13</v>
      </c>
      <c r="D5" t="s">
        <v>93</v>
      </c>
      <c r="E5" t="s">
        <v>243</v>
      </c>
      <c r="F5" t="s">
        <v>53</v>
      </c>
    </row>
    <row r="6" spans="1:6">
      <c r="A6" s="11" t="s">
        <v>39</v>
      </c>
      <c r="B6" s="9">
        <v>32</v>
      </c>
      <c r="C6" s="9">
        <v>1</v>
      </c>
      <c r="D6" s="9"/>
      <c r="E6" s="9"/>
      <c r="F6" s="9">
        <v>33</v>
      </c>
    </row>
    <row r="7" spans="1:6">
      <c r="A7" s="11" t="s">
        <v>21</v>
      </c>
      <c r="B7" s="9">
        <v>35</v>
      </c>
      <c r="C7" s="9">
        <v>13</v>
      </c>
      <c r="D7" s="9">
        <v>4</v>
      </c>
      <c r="E7" s="9">
        <v>3</v>
      </c>
      <c r="F7" s="9">
        <v>55</v>
      </c>
    </row>
    <row r="8" spans="1:6">
      <c r="A8" s="11" t="s">
        <v>11</v>
      </c>
      <c r="B8" s="9">
        <v>61</v>
      </c>
      <c r="C8" s="9">
        <v>2</v>
      </c>
      <c r="D8" s="9"/>
      <c r="E8" s="9"/>
      <c r="F8" s="9">
        <v>63</v>
      </c>
    </row>
    <row r="9" spans="1:6">
      <c r="A9" s="11" t="s">
        <v>14</v>
      </c>
      <c r="B9" s="9">
        <v>48</v>
      </c>
      <c r="C9" s="9">
        <v>32</v>
      </c>
      <c r="D9" s="9"/>
      <c r="E9" s="9"/>
      <c r="F9" s="9">
        <v>80</v>
      </c>
    </row>
    <row r="10" spans="1:6">
      <c r="A10" s="11" t="s">
        <v>20</v>
      </c>
      <c r="B10" s="9">
        <v>88</v>
      </c>
      <c r="C10" s="9"/>
      <c r="D10" s="9"/>
      <c r="E10" s="9"/>
      <c r="F10" s="9">
        <v>88</v>
      </c>
    </row>
    <row r="11" spans="1:6">
      <c r="A11" s="11" t="s">
        <v>53</v>
      </c>
      <c r="B11" s="9">
        <v>264</v>
      </c>
      <c r="C11" s="9">
        <v>48</v>
      </c>
      <c r="D11" s="9">
        <v>4</v>
      </c>
      <c r="E11" s="9">
        <v>3</v>
      </c>
      <c r="F11" s="9">
        <v>319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977A-1E36-4E7C-8CD5-2DFCF1236EED}">
  <dimension ref="A1:F11"/>
  <sheetViews>
    <sheetView topLeftCell="A10" workbookViewId="0">
      <selection activeCell="K47" sqref="K47"/>
    </sheetView>
  </sheetViews>
  <sheetFormatPr defaultRowHeight="15"/>
  <cols>
    <col min="1" max="1" width="34.85546875" bestFit="1" customWidth="1"/>
    <col min="2" max="2" width="17.85546875" bestFit="1" customWidth="1"/>
    <col min="3" max="3" width="20.5703125" bestFit="1" customWidth="1"/>
    <col min="4" max="4" width="15" bestFit="1" customWidth="1"/>
    <col min="5" max="5" width="4.28515625" bestFit="1" customWidth="1"/>
    <col min="6" max="8" width="11.28515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1" spans="1:6">
      <c r="A1" s="10" t="s">
        <v>6</v>
      </c>
      <c r="B1" t="s">
        <v>28</v>
      </c>
    </row>
    <row r="2" spans="1:6">
      <c r="A2" s="10" t="s">
        <v>177</v>
      </c>
      <c r="B2" t="s">
        <v>226</v>
      </c>
    </row>
    <row r="4" spans="1:6">
      <c r="A4" s="10" t="s">
        <v>51</v>
      </c>
      <c r="B4" s="10" t="s">
        <v>54</v>
      </c>
    </row>
    <row r="5" spans="1:6">
      <c r="A5" s="10" t="s">
        <v>52</v>
      </c>
      <c r="B5" t="s">
        <v>29</v>
      </c>
      <c r="C5" t="s">
        <v>246</v>
      </c>
      <c r="D5" t="s">
        <v>244</v>
      </c>
      <c r="E5" t="s">
        <v>259</v>
      </c>
      <c r="F5" t="s">
        <v>53</v>
      </c>
    </row>
    <row r="6" spans="1:6">
      <c r="A6" s="11" t="s">
        <v>113</v>
      </c>
      <c r="B6" s="9"/>
      <c r="C6" s="9">
        <v>49</v>
      </c>
      <c r="D6" s="9">
        <v>1</v>
      </c>
      <c r="E6" s="9"/>
      <c r="F6" s="9">
        <v>50</v>
      </c>
    </row>
    <row r="7" spans="1:6">
      <c r="A7" s="11" t="s">
        <v>110</v>
      </c>
      <c r="B7" s="9"/>
      <c r="C7" s="9">
        <v>1</v>
      </c>
      <c r="D7" s="9"/>
      <c r="E7" s="9">
        <v>80</v>
      </c>
      <c r="F7" s="9">
        <v>81</v>
      </c>
    </row>
    <row r="8" spans="1:6">
      <c r="A8" s="11" t="s">
        <v>27</v>
      </c>
      <c r="B8" s="9">
        <v>67</v>
      </c>
      <c r="C8" s="9">
        <v>67</v>
      </c>
      <c r="D8" s="9"/>
      <c r="E8" s="9"/>
      <c r="F8" s="9">
        <v>134</v>
      </c>
    </row>
    <row r="9" spans="1:6">
      <c r="A9" s="11" t="s">
        <v>111</v>
      </c>
      <c r="B9" s="9"/>
      <c r="C9" s="9"/>
      <c r="D9" s="9"/>
      <c r="E9" s="9">
        <v>172</v>
      </c>
      <c r="F9" s="9">
        <v>172</v>
      </c>
    </row>
    <row r="10" spans="1:6">
      <c r="A10" s="11" t="s">
        <v>85</v>
      </c>
      <c r="B10" s="9"/>
      <c r="C10" s="9">
        <v>180</v>
      </c>
      <c r="D10" s="9">
        <v>3</v>
      </c>
      <c r="E10" s="9"/>
      <c r="F10" s="9">
        <v>183</v>
      </c>
    </row>
    <row r="11" spans="1:6">
      <c r="A11" s="11" t="s">
        <v>53</v>
      </c>
      <c r="B11" s="9">
        <v>67</v>
      </c>
      <c r="C11" s="9">
        <v>297</v>
      </c>
      <c r="D11" s="9">
        <v>4</v>
      </c>
      <c r="E11" s="9">
        <v>252</v>
      </c>
      <c r="F11" s="9">
        <v>620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2C79-F416-4A23-AFC3-60852D713E64}">
  <dimension ref="A1:C137"/>
  <sheetViews>
    <sheetView workbookViewId="0">
      <selection activeCell="B73" sqref="B73"/>
    </sheetView>
  </sheetViews>
  <sheetFormatPr defaultRowHeight="12.75"/>
  <cols>
    <col min="1" max="1" width="9.140625" style="42"/>
    <col min="2" max="2" width="46" style="42" customWidth="1"/>
    <col min="3" max="3" width="15.28515625" style="42" customWidth="1"/>
    <col min="4" max="4" width="9.140625" style="30"/>
    <col min="5" max="5" width="35.28515625" style="30" bestFit="1" customWidth="1"/>
    <col min="6" max="16384" width="9.140625" style="30"/>
  </cols>
  <sheetData>
    <row r="1" spans="1:3" ht="15">
      <c r="A1" s="42" t="s">
        <v>175</v>
      </c>
      <c r="B1" s="8" t="s">
        <v>0</v>
      </c>
      <c r="C1" s="42" t="s">
        <v>174</v>
      </c>
    </row>
    <row r="2" spans="1:3">
      <c r="A2" s="42">
        <v>1</v>
      </c>
      <c r="B2" s="74" t="s">
        <v>228</v>
      </c>
      <c r="C2" s="75">
        <v>76.89</v>
      </c>
    </row>
    <row r="3" spans="1:3">
      <c r="A3" s="42">
        <v>2</v>
      </c>
      <c r="B3" s="45" t="s">
        <v>135</v>
      </c>
      <c r="C3" s="75">
        <v>86.52</v>
      </c>
    </row>
    <row r="4" spans="1:3">
      <c r="A4" s="42">
        <v>3</v>
      </c>
      <c r="B4" s="45" t="s">
        <v>247</v>
      </c>
      <c r="C4" s="75">
        <v>30.18</v>
      </c>
    </row>
    <row r="5" spans="1:3">
      <c r="A5" s="42">
        <v>4</v>
      </c>
      <c r="B5" s="45" t="s">
        <v>133</v>
      </c>
      <c r="C5" s="75">
        <v>114.8</v>
      </c>
    </row>
    <row r="6" spans="1:3">
      <c r="A6" s="42">
        <v>5</v>
      </c>
      <c r="B6" s="45" t="s">
        <v>171</v>
      </c>
      <c r="C6" s="75">
        <v>50.54</v>
      </c>
    </row>
    <row r="7" spans="1:3">
      <c r="A7" s="42">
        <v>6</v>
      </c>
      <c r="B7" s="45" t="s">
        <v>71</v>
      </c>
      <c r="C7" s="75">
        <v>72.31</v>
      </c>
    </row>
    <row r="8" spans="1:3">
      <c r="A8" s="42">
        <v>7</v>
      </c>
      <c r="B8" s="45" t="s">
        <v>170</v>
      </c>
      <c r="C8" s="75">
        <v>39.4</v>
      </c>
    </row>
    <row r="9" spans="1:3">
      <c r="A9" s="42">
        <v>8</v>
      </c>
      <c r="B9" s="45" t="s">
        <v>151</v>
      </c>
      <c r="C9" s="75">
        <v>281.45</v>
      </c>
    </row>
    <row r="10" spans="1:3">
      <c r="A10" s="42">
        <v>9</v>
      </c>
      <c r="B10" s="45" t="s">
        <v>155</v>
      </c>
      <c r="C10" s="75">
        <v>51.36</v>
      </c>
    </row>
    <row r="11" spans="1:3">
      <c r="A11" s="42">
        <v>10</v>
      </c>
      <c r="B11" s="45" t="s">
        <v>9</v>
      </c>
      <c r="C11" s="75">
        <v>114.33</v>
      </c>
    </row>
    <row r="12" spans="1:3">
      <c r="A12" s="42">
        <v>11</v>
      </c>
      <c r="B12" s="45" t="s">
        <v>56</v>
      </c>
      <c r="C12" s="75">
        <v>241.14</v>
      </c>
    </row>
    <row r="13" spans="1:3">
      <c r="A13" s="42">
        <v>12</v>
      </c>
      <c r="B13" s="45" t="s">
        <v>144</v>
      </c>
      <c r="C13" s="75">
        <v>272.14</v>
      </c>
    </row>
    <row r="14" spans="1:3">
      <c r="A14" s="42">
        <v>13</v>
      </c>
      <c r="B14" s="45" t="s">
        <v>36</v>
      </c>
      <c r="C14" s="75">
        <v>358</v>
      </c>
    </row>
    <row r="15" spans="1:3">
      <c r="A15" s="42">
        <v>14</v>
      </c>
      <c r="B15" s="45" t="s">
        <v>81</v>
      </c>
      <c r="C15" s="75">
        <v>358.99</v>
      </c>
    </row>
    <row r="16" spans="1:3">
      <c r="A16" s="42">
        <v>15</v>
      </c>
      <c r="B16" s="45" t="s">
        <v>143</v>
      </c>
      <c r="C16" s="75">
        <v>459.02</v>
      </c>
    </row>
    <row r="17" spans="1:3">
      <c r="A17" s="42">
        <v>16</v>
      </c>
      <c r="B17" s="45" t="s">
        <v>142</v>
      </c>
      <c r="C17" s="75">
        <v>579.02</v>
      </c>
    </row>
    <row r="18" spans="1:3">
      <c r="A18" s="42">
        <v>17</v>
      </c>
      <c r="B18" s="45" t="s">
        <v>141</v>
      </c>
      <c r="C18" s="75">
        <v>1170.17</v>
      </c>
    </row>
    <row r="19" spans="1:3">
      <c r="A19" s="42">
        <v>18</v>
      </c>
      <c r="B19" s="45" t="s">
        <v>140</v>
      </c>
      <c r="C19" s="75">
        <v>2009.42</v>
      </c>
    </row>
    <row r="20" spans="1:3">
      <c r="A20" s="42">
        <v>19</v>
      </c>
      <c r="B20" s="45" t="s">
        <v>229</v>
      </c>
      <c r="C20" s="75">
        <v>34.44</v>
      </c>
    </row>
    <row r="21" spans="1:3">
      <c r="A21" s="42">
        <v>20</v>
      </c>
      <c r="B21" s="45" t="s">
        <v>252</v>
      </c>
      <c r="C21" s="75">
        <v>48.76</v>
      </c>
    </row>
    <row r="22" spans="1:3">
      <c r="A22" s="42">
        <v>21</v>
      </c>
      <c r="B22" s="45" t="s">
        <v>230</v>
      </c>
      <c r="C22" s="75">
        <v>60.93</v>
      </c>
    </row>
    <row r="23" spans="1:3">
      <c r="A23" s="42">
        <v>22</v>
      </c>
      <c r="B23" s="45" t="s">
        <v>231</v>
      </c>
      <c r="C23" s="75">
        <v>61.8</v>
      </c>
    </row>
    <row r="24" spans="1:3">
      <c r="A24" s="42">
        <v>23</v>
      </c>
      <c r="B24" s="45" t="s">
        <v>232</v>
      </c>
      <c r="C24" s="75">
        <v>94.25</v>
      </c>
    </row>
    <row r="25" spans="1:3">
      <c r="A25" s="42">
        <v>24</v>
      </c>
      <c r="B25" s="45" t="s">
        <v>233</v>
      </c>
      <c r="C25" s="75">
        <v>89.05</v>
      </c>
    </row>
    <row r="26" spans="1:3">
      <c r="A26" s="42">
        <v>25</v>
      </c>
      <c r="B26" s="45" t="s">
        <v>139</v>
      </c>
      <c r="C26" s="75">
        <v>154.93</v>
      </c>
    </row>
    <row r="27" spans="1:3">
      <c r="A27" s="42">
        <v>26</v>
      </c>
      <c r="B27" s="45" t="s">
        <v>138</v>
      </c>
      <c r="C27" s="75">
        <v>199.15</v>
      </c>
    </row>
    <row r="28" spans="1:3">
      <c r="A28" s="42">
        <v>27</v>
      </c>
      <c r="B28" s="76" t="s">
        <v>134</v>
      </c>
      <c r="C28" s="75">
        <v>124.86</v>
      </c>
    </row>
    <row r="29" spans="1:3">
      <c r="A29" s="42">
        <v>28</v>
      </c>
      <c r="B29" s="45" t="s">
        <v>4</v>
      </c>
      <c r="C29" s="75">
        <v>94.25</v>
      </c>
    </row>
    <row r="30" spans="1:3">
      <c r="A30" s="42">
        <v>29</v>
      </c>
      <c r="B30" s="45" t="s">
        <v>234</v>
      </c>
      <c r="C30" s="75">
        <v>87.52</v>
      </c>
    </row>
    <row r="31" spans="1:3">
      <c r="A31" s="42">
        <v>30</v>
      </c>
      <c r="B31" s="45" t="s">
        <v>30</v>
      </c>
      <c r="C31" s="75">
        <v>79.94</v>
      </c>
    </row>
    <row r="32" spans="1:3">
      <c r="A32" s="42">
        <v>31</v>
      </c>
      <c r="B32" s="45" t="s">
        <v>31</v>
      </c>
      <c r="C32" s="75">
        <v>85.75</v>
      </c>
    </row>
    <row r="33" spans="1:3">
      <c r="A33" s="42">
        <v>32</v>
      </c>
      <c r="B33" s="45" t="s">
        <v>92</v>
      </c>
      <c r="C33" s="75">
        <v>77.69</v>
      </c>
    </row>
    <row r="34" spans="1:3">
      <c r="A34" s="42">
        <v>33</v>
      </c>
      <c r="B34" s="45" t="s">
        <v>164</v>
      </c>
      <c r="C34" s="75">
        <v>94.68</v>
      </c>
    </row>
    <row r="35" spans="1:3">
      <c r="A35" s="42">
        <v>34</v>
      </c>
      <c r="B35" s="45" t="s">
        <v>162</v>
      </c>
      <c r="C35" s="75">
        <v>95.66</v>
      </c>
    </row>
    <row r="36" spans="1:3">
      <c r="A36" s="42">
        <v>35</v>
      </c>
      <c r="B36" s="45" t="s">
        <v>160</v>
      </c>
      <c r="C36" s="75">
        <v>115.36</v>
      </c>
    </row>
    <row r="37" spans="1:3">
      <c r="A37" s="42">
        <v>36</v>
      </c>
      <c r="B37" s="45" t="s">
        <v>73</v>
      </c>
      <c r="C37" s="75">
        <v>97.22</v>
      </c>
    </row>
    <row r="38" spans="1:3">
      <c r="A38" s="42">
        <v>37</v>
      </c>
      <c r="B38" s="45" t="s">
        <v>3</v>
      </c>
      <c r="C38" s="75">
        <v>85</v>
      </c>
    </row>
    <row r="39" spans="1:3">
      <c r="A39" s="42">
        <v>38</v>
      </c>
      <c r="B39" s="45" t="s">
        <v>148</v>
      </c>
      <c r="C39" s="75">
        <v>126.16</v>
      </c>
    </row>
    <row r="40" spans="1:3">
      <c r="A40" s="42">
        <v>39</v>
      </c>
      <c r="B40" s="45" t="s">
        <v>145</v>
      </c>
      <c r="C40" s="75">
        <v>273.87</v>
      </c>
    </row>
    <row r="41" spans="1:3">
      <c r="A41" s="42">
        <v>40</v>
      </c>
      <c r="B41" s="45" t="s">
        <v>74</v>
      </c>
      <c r="C41" s="75">
        <v>306.75</v>
      </c>
    </row>
    <row r="42" spans="1:3">
      <c r="A42" s="42">
        <v>41</v>
      </c>
      <c r="B42" s="45" t="s">
        <v>88</v>
      </c>
      <c r="C42" s="75">
        <v>386.36</v>
      </c>
    </row>
    <row r="43" spans="1:3">
      <c r="A43" s="42">
        <v>42</v>
      </c>
      <c r="B43" s="77" t="s">
        <v>57</v>
      </c>
      <c r="C43" s="75">
        <v>142.27000000000001</v>
      </c>
    </row>
    <row r="44" spans="1:3">
      <c r="A44" s="42">
        <v>43</v>
      </c>
      <c r="B44" s="45" t="s">
        <v>137</v>
      </c>
      <c r="C44" s="75">
        <v>108.39</v>
      </c>
    </row>
    <row r="45" spans="1:3">
      <c r="A45" s="42">
        <v>44</v>
      </c>
      <c r="B45" s="45" t="s">
        <v>136</v>
      </c>
      <c r="C45" s="75">
        <v>181.83</v>
      </c>
    </row>
    <row r="46" spans="1:3">
      <c r="A46" s="42">
        <v>45</v>
      </c>
      <c r="B46" s="45" t="s">
        <v>89</v>
      </c>
      <c r="C46" s="75"/>
    </row>
    <row r="47" spans="1:3">
      <c r="A47" s="42">
        <v>46</v>
      </c>
      <c r="B47" s="45" t="s">
        <v>87</v>
      </c>
      <c r="C47" s="75"/>
    </row>
    <row r="48" spans="1:3">
      <c r="A48" s="42">
        <v>47</v>
      </c>
      <c r="B48" s="45" t="s">
        <v>173</v>
      </c>
      <c r="C48" s="75"/>
    </row>
    <row r="49" spans="1:3">
      <c r="A49" s="42">
        <v>48</v>
      </c>
      <c r="B49" s="45" t="s">
        <v>172</v>
      </c>
      <c r="C49" s="75"/>
    </row>
    <row r="50" spans="1:3">
      <c r="A50" s="42">
        <v>49</v>
      </c>
      <c r="B50" s="45" t="s">
        <v>169</v>
      </c>
      <c r="C50" s="75"/>
    </row>
    <row r="51" spans="1:3">
      <c r="A51" s="42">
        <v>50</v>
      </c>
      <c r="B51" s="45" t="s">
        <v>72</v>
      </c>
      <c r="C51" s="75"/>
    </row>
    <row r="52" spans="1:3">
      <c r="A52" s="42">
        <v>51</v>
      </c>
      <c r="B52" s="45" t="s">
        <v>168</v>
      </c>
      <c r="C52" s="75"/>
    </row>
    <row r="53" spans="1:3">
      <c r="A53" s="42">
        <v>52</v>
      </c>
      <c r="B53" s="45" t="s">
        <v>167</v>
      </c>
      <c r="C53" s="75"/>
    </row>
    <row r="54" spans="1:3">
      <c r="A54" s="42">
        <v>53</v>
      </c>
      <c r="B54" s="45" t="s">
        <v>166</v>
      </c>
      <c r="C54" s="75"/>
    </row>
    <row r="55" spans="1:3">
      <c r="A55" s="42">
        <v>54</v>
      </c>
      <c r="B55" s="45" t="s">
        <v>165</v>
      </c>
      <c r="C55" s="75">
        <v>68.2</v>
      </c>
    </row>
    <row r="56" spans="1:3">
      <c r="A56" s="42">
        <v>55</v>
      </c>
      <c r="B56" s="45" t="s">
        <v>83</v>
      </c>
      <c r="C56" s="75">
        <v>83.13</v>
      </c>
    </row>
    <row r="57" spans="1:3">
      <c r="A57" s="42">
        <v>56</v>
      </c>
      <c r="B57" s="45" t="s">
        <v>163</v>
      </c>
      <c r="C57" s="75"/>
    </row>
    <row r="58" spans="1:3">
      <c r="A58" s="42">
        <v>57</v>
      </c>
      <c r="B58" s="45" t="s">
        <v>161</v>
      </c>
      <c r="C58" s="75">
        <v>83.13</v>
      </c>
    </row>
    <row r="59" spans="1:3">
      <c r="A59" s="42">
        <v>58</v>
      </c>
      <c r="B59" s="45" t="s">
        <v>159</v>
      </c>
      <c r="C59" s="75">
        <v>87.8</v>
      </c>
    </row>
    <row r="60" spans="1:3">
      <c r="A60" s="42">
        <v>59</v>
      </c>
      <c r="B60" s="71" t="s">
        <v>14</v>
      </c>
      <c r="C60" s="78">
        <v>49.25</v>
      </c>
    </row>
    <row r="61" spans="1:3">
      <c r="A61" s="42">
        <v>60</v>
      </c>
      <c r="B61" s="71" t="s">
        <v>42</v>
      </c>
      <c r="C61" s="78">
        <v>58.78</v>
      </c>
    </row>
    <row r="62" spans="1:3">
      <c r="A62" s="42">
        <v>61</v>
      </c>
      <c r="B62" s="71" t="s">
        <v>11</v>
      </c>
      <c r="C62" s="78">
        <v>32.32</v>
      </c>
    </row>
    <row r="63" spans="1:3">
      <c r="A63" s="42">
        <v>62</v>
      </c>
      <c r="B63" s="71" t="s">
        <v>132</v>
      </c>
      <c r="C63" s="78">
        <v>22.16</v>
      </c>
    </row>
    <row r="64" spans="1:3">
      <c r="A64" s="42">
        <v>63</v>
      </c>
      <c r="B64" s="71" t="s">
        <v>131</v>
      </c>
      <c r="C64" s="78">
        <v>23.28</v>
      </c>
    </row>
    <row r="65" spans="1:3">
      <c r="A65" s="42">
        <v>64</v>
      </c>
      <c r="B65" s="71" t="s">
        <v>128</v>
      </c>
      <c r="C65" s="78">
        <v>22.16</v>
      </c>
    </row>
    <row r="66" spans="1:3">
      <c r="A66" s="42">
        <v>65</v>
      </c>
      <c r="B66" s="71" t="s">
        <v>127</v>
      </c>
      <c r="C66" s="78">
        <v>23.28</v>
      </c>
    </row>
    <row r="67" spans="1:3">
      <c r="A67" s="42">
        <v>66</v>
      </c>
      <c r="B67" s="71" t="s">
        <v>37</v>
      </c>
      <c r="C67" s="78">
        <v>16.079999999999998</v>
      </c>
    </row>
    <row r="68" spans="1:3">
      <c r="A68" s="42">
        <v>67</v>
      </c>
      <c r="B68" s="71" t="s">
        <v>17</v>
      </c>
      <c r="C68" s="78">
        <v>17.8</v>
      </c>
    </row>
    <row r="69" spans="1:3">
      <c r="A69" s="42">
        <v>68</v>
      </c>
      <c r="B69" s="71" t="s">
        <v>18</v>
      </c>
      <c r="C69" s="78">
        <v>18.54</v>
      </c>
    </row>
    <row r="70" spans="1:3">
      <c r="A70" s="42">
        <v>69</v>
      </c>
      <c r="B70" s="71" t="s">
        <v>19</v>
      </c>
      <c r="C70" s="78">
        <v>23.91</v>
      </c>
    </row>
    <row r="71" spans="1:3">
      <c r="A71" s="42">
        <v>70</v>
      </c>
      <c r="B71" s="71" t="s">
        <v>125</v>
      </c>
      <c r="C71" s="78">
        <v>26.1</v>
      </c>
    </row>
    <row r="72" spans="1:3">
      <c r="A72" s="42">
        <v>71</v>
      </c>
      <c r="B72" s="71" t="s">
        <v>38</v>
      </c>
      <c r="C72" s="78">
        <v>27.14</v>
      </c>
    </row>
    <row r="73" spans="1:3">
      <c r="A73" s="42">
        <v>72</v>
      </c>
      <c r="B73" s="71" t="s">
        <v>39</v>
      </c>
      <c r="C73" s="78">
        <v>34.83</v>
      </c>
    </row>
    <row r="74" spans="1:3">
      <c r="A74" s="42">
        <v>73</v>
      </c>
      <c r="B74" s="71" t="s">
        <v>20</v>
      </c>
      <c r="C74" s="78">
        <v>38.270000000000003</v>
      </c>
    </row>
    <row r="75" spans="1:3">
      <c r="A75" s="42">
        <v>74</v>
      </c>
      <c r="B75" s="71" t="s">
        <v>21</v>
      </c>
      <c r="C75" s="78">
        <v>44.78</v>
      </c>
    </row>
    <row r="76" spans="1:3">
      <c r="A76" s="42">
        <v>75</v>
      </c>
      <c r="B76" s="71" t="s">
        <v>77</v>
      </c>
      <c r="C76" s="78">
        <v>38.94</v>
      </c>
    </row>
    <row r="77" spans="1:3">
      <c r="A77" s="42">
        <v>76</v>
      </c>
      <c r="B77" s="71" t="s">
        <v>124</v>
      </c>
      <c r="C77" s="78">
        <v>133.32</v>
      </c>
    </row>
    <row r="78" spans="1:3">
      <c r="A78" s="42">
        <v>77</v>
      </c>
      <c r="B78" s="71" t="s">
        <v>123</v>
      </c>
      <c r="C78" s="78">
        <v>160.1</v>
      </c>
    </row>
    <row r="79" spans="1:3">
      <c r="A79" s="42">
        <v>78</v>
      </c>
      <c r="B79" s="71" t="s">
        <v>122</v>
      </c>
      <c r="C79" s="78">
        <v>188.56</v>
      </c>
    </row>
    <row r="80" spans="1:3">
      <c r="A80" s="42">
        <v>79</v>
      </c>
      <c r="B80" s="71" t="s">
        <v>121</v>
      </c>
      <c r="C80" s="78">
        <v>188.45</v>
      </c>
    </row>
    <row r="81" spans="1:3">
      <c r="A81" s="42">
        <v>80</v>
      </c>
      <c r="B81" s="71" t="s">
        <v>62</v>
      </c>
      <c r="C81" s="78">
        <v>43.37</v>
      </c>
    </row>
    <row r="82" spans="1:3">
      <c r="A82" s="42">
        <v>81</v>
      </c>
      <c r="B82" s="71" t="s">
        <v>69</v>
      </c>
      <c r="C82" s="78">
        <v>28.74</v>
      </c>
    </row>
    <row r="83" spans="1:3">
      <c r="A83" s="42">
        <v>82</v>
      </c>
      <c r="B83" s="71" t="s">
        <v>120</v>
      </c>
      <c r="C83" s="78">
        <v>215.47</v>
      </c>
    </row>
    <row r="84" spans="1:3">
      <c r="A84" s="42">
        <v>83</v>
      </c>
      <c r="B84" s="71" t="s">
        <v>119</v>
      </c>
      <c r="C84" s="78">
        <v>185.14</v>
      </c>
    </row>
    <row r="85" spans="1:3">
      <c r="A85" s="42">
        <v>84</v>
      </c>
      <c r="B85" s="71" t="s">
        <v>70</v>
      </c>
      <c r="C85" s="78">
        <v>50.64</v>
      </c>
    </row>
    <row r="86" spans="1:3">
      <c r="A86" s="42">
        <v>85</v>
      </c>
      <c r="B86" s="71" t="s">
        <v>40</v>
      </c>
      <c r="C86" s="78">
        <v>53.57</v>
      </c>
    </row>
    <row r="87" spans="1:3">
      <c r="A87" s="42">
        <v>86</v>
      </c>
      <c r="B87" s="71" t="s">
        <v>41</v>
      </c>
      <c r="C87" s="78">
        <v>46.91</v>
      </c>
    </row>
    <row r="88" spans="1:3">
      <c r="A88" s="42">
        <v>87</v>
      </c>
      <c r="B88" s="71" t="s">
        <v>22</v>
      </c>
      <c r="C88" s="78">
        <v>55.28</v>
      </c>
    </row>
    <row r="89" spans="1:3">
      <c r="A89" s="42">
        <v>88</v>
      </c>
      <c r="B89" s="71" t="s">
        <v>23</v>
      </c>
      <c r="C89" s="78">
        <v>64.459999999999994</v>
      </c>
    </row>
    <row r="90" spans="1:3">
      <c r="A90" s="42">
        <v>89</v>
      </c>
      <c r="B90" s="71" t="s">
        <v>24</v>
      </c>
      <c r="C90" s="78">
        <v>73.53</v>
      </c>
    </row>
    <row r="91" spans="1:3">
      <c r="A91" s="42">
        <v>90</v>
      </c>
      <c r="B91" s="71" t="s">
        <v>49</v>
      </c>
      <c r="C91" s="78">
        <v>82.69</v>
      </c>
    </row>
    <row r="92" spans="1:3">
      <c r="A92" s="42">
        <v>91</v>
      </c>
      <c r="B92" s="79" t="s">
        <v>63</v>
      </c>
      <c r="C92" s="78">
        <v>62.87</v>
      </c>
    </row>
    <row r="93" spans="1:3">
      <c r="A93" s="42">
        <v>92</v>
      </c>
      <c r="B93" s="71" t="s">
        <v>130</v>
      </c>
      <c r="C93" s="78">
        <v>16.059999999999999</v>
      </c>
    </row>
    <row r="94" spans="1:3">
      <c r="A94" s="42">
        <v>93</v>
      </c>
      <c r="B94" s="71" t="s">
        <v>129</v>
      </c>
      <c r="C94" s="78">
        <v>23.28</v>
      </c>
    </row>
    <row r="95" spans="1:3" ht="13.5" thickBot="1">
      <c r="A95" s="42">
        <v>94</v>
      </c>
      <c r="B95" s="80" t="s">
        <v>126</v>
      </c>
      <c r="C95" s="81"/>
    </row>
    <row r="96" spans="1:3" ht="13.5" thickTop="1">
      <c r="A96" s="42">
        <v>95</v>
      </c>
      <c r="B96" s="72" t="s">
        <v>84</v>
      </c>
      <c r="C96" s="82">
        <v>15.38</v>
      </c>
    </row>
    <row r="97" spans="1:3">
      <c r="A97" s="42">
        <v>96</v>
      </c>
      <c r="B97" s="83" t="s">
        <v>118</v>
      </c>
      <c r="C97" s="82">
        <v>55.64</v>
      </c>
    </row>
    <row r="98" spans="1:3">
      <c r="A98" s="42">
        <v>97</v>
      </c>
      <c r="B98" s="83" t="s">
        <v>117</v>
      </c>
      <c r="C98" s="82">
        <v>61.69</v>
      </c>
    </row>
    <row r="99" spans="1:3">
      <c r="A99" s="42">
        <v>98</v>
      </c>
      <c r="B99" s="84" t="s">
        <v>116</v>
      </c>
      <c r="C99" s="82">
        <v>24.79</v>
      </c>
    </row>
    <row r="100" spans="1:3">
      <c r="A100" s="42">
        <v>99</v>
      </c>
      <c r="B100" s="72" t="s">
        <v>115</v>
      </c>
      <c r="C100" s="82">
        <v>19.739999999999998</v>
      </c>
    </row>
    <row r="101" spans="1:3">
      <c r="A101" s="42">
        <v>100</v>
      </c>
      <c r="B101" s="73" t="s">
        <v>235</v>
      </c>
      <c r="C101" s="82">
        <v>11.28</v>
      </c>
    </row>
    <row r="102" spans="1:3">
      <c r="A102" s="42">
        <v>101</v>
      </c>
      <c r="B102" s="73" t="s">
        <v>236</v>
      </c>
      <c r="C102" s="82">
        <v>13.25</v>
      </c>
    </row>
    <row r="103" spans="1:3">
      <c r="A103" s="42">
        <v>102</v>
      </c>
      <c r="B103" s="72" t="s">
        <v>113</v>
      </c>
      <c r="C103" s="82">
        <v>52.3</v>
      </c>
    </row>
    <row r="104" spans="1:3">
      <c r="A104" s="42">
        <v>103</v>
      </c>
      <c r="B104" s="72" t="s">
        <v>114</v>
      </c>
      <c r="C104" s="82">
        <v>20.72</v>
      </c>
    </row>
    <row r="105" spans="1:3">
      <c r="A105" s="42">
        <v>104</v>
      </c>
      <c r="B105" s="72" t="s">
        <v>85</v>
      </c>
      <c r="C105" s="82">
        <v>19.55</v>
      </c>
    </row>
    <row r="106" spans="1:3">
      <c r="A106" s="42">
        <v>105</v>
      </c>
      <c r="B106" s="72" t="s">
        <v>237</v>
      </c>
      <c r="C106" s="82">
        <v>5.99</v>
      </c>
    </row>
    <row r="107" spans="1:3">
      <c r="A107" s="42">
        <v>106</v>
      </c>
      <c r="B107" s="73" t="s">
        <v>238</v>
      </c>
      <c r="C107" s="82">
        <v>6.26</v>
      </c>
    </row>
    <row r="108" spans="1:3">
      <c r="A108" s="42">
        <v>107</v>
      </c>
      <c r="B108" s="72" t="s">
        <v>112</v>
      </c>
      <c r="C108" s="82">
        <v>23.07</v>
      </c>
    </row>
    <row r="109" spans="1:3">
      <c r="A109" s="42">
        <v>108</v>
      </c>
      <c r="B109" s="72" t="s">
        <v>111</v>
      </c>
      <c r="C109" s="82">
        <v>23.07</v>
      </c>
    </row>
    <row r="110" spans="1:3">
      <c r="A110" s="42">
        <v>109</v>
      </c>
      <c r="B110" s="84" t="s">
        <v>110</v>
      </c>
      <c r="C110" s="82">
        <v>26</v>
      </c>
    </row>
    <row r="111" spans="1:3">
      <c r="A111" s="42">
        <v>110</v>
      </c>
      <c r="B111" s="72" t="s">
        <v>25</v>
      </c>
      <c r="C111" s="82">
        <v>20.04</v>
      </c>
    </row>
    <row r="112" spans="1:3">
      <c r="A112" s="42">
        <v>111</v>
      </c>
      <c r="B112" s="72" t="s">
        <v>109</v>
      </c>
      <c r="C112" s="82">
        <v>19.75</v>
      </c>
    </row>
    <row r="113" spans="1:3">
      <c r="A113" s="42">
        <v>112</v>
      </c>
      <c r="B113" s="72" t="s">
        <v>239</v>
      </c>
      <c r="C113" s="82">
        <v>26.82</v>
      </c>
    </row>
    <row r="114" spans="1:3">
      <c r="A114" s="42">
        <v>113</v>
      </c>
      <c r="B114" s="72" t="s">
        <v>240</v>
      </c>
      <c r="C114" s="82">
        <v>82.97</v>
      </c>
    </row>
    <row r="115" spans="1:3">
      <c r="A115" s="42">
        <v>114</v>
      </c>
      <c r="B115" s="73" t="s">
        <v>107</v>
      </c>
      <c r="C115" s="82">
        <v>82.97</v>
      </c>
    </row>
    <row r="116" spans="1:3">
      <c r="A116" s="42">
        <v>115</v>
      </c>
      <c r="B116" s="73" t="s">
        <v>106</v>
      </c>
      <c r="C116" s="82">
        <v>81.11</v>
      </c>
    </row>
    <row r="117" spans="1:3">
      <c r="A117" s="42">
        <v>116</v>
      </c>
      <c r="B117" s="73" t="s">
        <v>58</v>
      </c>
      <c r="C117" s="82">
        <v>13.99</v>
      </c>
    </row>
    <row r="118" spans="1:3">
      <c r="A118" s="42">
        <v>117</v>
      </c>
      <c r="B118" s="73" t="s">
        <v>105</v>
      </c>
      <c r="C118" s="82"/>
    </row>
    <row r="119" spans="1:3">
      <c r="A119" s="42">
        <v>118</v>
      </c>
      <c r="B119" s="73" t="s">
        <v>44</v>
      </c>
      <c r="C119" s="82"/>
    </row>
    <row r="120" spans="1:3">
      <c r="A120" s="42">
        <v>119</v>
      </c>
      <c r="B120" s="72" t="s">
        <v>104</v>
      </c>
      <c r="C120" s="82"/>
    </row>
    <row r="121" spans="1:3">
      <c r="A121" s="42">
        <v>120</v>
      </c>
      <c r="B121" s="73" t="s">
        <v>59</v>
      </c>
      <c r="C121" s="82"/>
    </row>
    <row r="122" spans="1:3">
      <c r="A122" s="42">
        <v>121</v>
      </c>
      <c r="B122" s="73" t="s">
        <v>103</v>
      </c>
      <c r="C122" s="82"/>
    </row>
    <row r="123" spans="1:3">
      <c r="A123" s="42">
        <v>122</v>
      </c>
      <c r="B123" s="73" t="s">
        <v>50</v>
      </c>
      <c r="C123" s="82"/>
    </row>
    <row r="124" spans="1:3">
      <c r="A124" s="42">
        <v>123</v>
      </c>
      <c r="B124" s="73" t="s">
        <v>60</v>
      </c>
      <c r="C124" s="82">
        <v>21.61</v>
      </c>
    </row>
    <row r="125" spans="1:3">
      <c r="A125" s="42">
        <v>124</v>
      </c>
      <c r="B125" s="73" t="s">
        <v>66</v>
      </c>
      <c r="C125" s="82">
        <v>22.61</v>
      </c>
    </row>
    <row r="126" spans="1:3">
      <c r="A126" s="42">
        <v>125</v>
      </c>
      <c r="B126" s="73" t="s">
        <v>26</v>
      </c>
      <c r="C126" s="82"/>
    </row>
    <row r="127" spans="1:3">
      <c r="A127" s="42">
        <v>126</v>
      </c>
      <c r="B127" s="73" t="s">
        <v>102</v>
      </c>
      <c r="C127" s="82">
        <v>19.97</v>
      </c>
    </row>
    <row r="128" spans="1:3">
      <c r="A128" s="42">
        <v>127</v>
      </c>
      <c r="B128" s="73" t="s">
        <v>101</v>
      </c>
      <c r="C128" s="82">
        <v>39.53</v>
      </c>
    </row>
    <row r="129" spans="1:3">
      <c r="A129" s="42">
        <v>128</v>
      </c>
      <c r="B129" s="73" t="s">
        <v>100</v>
      </c>
      <c r="C129" s="82">
        <v>32.049999999999997</v>
      </c>
    </row>
    <row r="130" spans="1:3">
      <c r="A130" s="42">
        <v>129</v>
      </c>
      <c r="B130" s="73" t="s">
        <v>99</v>
      </c>
      <c r="C130" s="82"/>
    </row>
    <row r="131" spans="1:3">
      <c r="A131" s="42">
        <v>130</v>
      </c>
      <c r="B131" s="73" t="s">
        <v>45</v>
      </c>
      <c r="C131" s="82">
        <v>5.92</v>
      </c>
    </row>
    <row r="132" spans="1:3">
      <c r="A132" s="42">
        <v>131</v>
      </c>
      <c r="B132" s="73" t="s">
        <v>98</v>
      </c>
      <c r="C132" s="82">
        <v>9.11</v>
      </c>
    </row>
    <row r="133" spans="1:3">
      <c r="A133" s="42">
        <v>132</v>
      </c>
      <c r="B133" s="73" t="s">
        <v>241</v>
      </c>
      <c r="C133" s="82">
        <v>7.62</v>
      </c>
    </row>
    <row r="134" spans="1:3">
      <c r="A134" s="42">
        <v>133</v>
      </c>
      <c r="B134" s="73" t="s">
        <v>80</v>
      </c>
      <c r="C134" s="82">
        <v>11.39</v>
      </c>
    </row>
    <row r="135" spans="1:3">
      <c r="A135" s="42">
        <v>134</v>
      </c>
      <c r="B135" s="73" t="s">
        <v>27</v>
      </c>
      <c r="C135" s="82">
        <v>11.59</v>
      </c>
    </row>
    <row r="136" spans="1:3">
      <c r="A136" s="42">
        <v>135</v>
      </c>
      <c r="B136" s="73" t="s">
        <v>96</v>
      </c>
      <c r="C136" s="82">
        <v>36.9</v>
      </c>
    </row>
    <row r="137" spans="1:3">
      <c r="A137" s="42">
        <v>136</v>
      </c>
      <c r="B137" s="1" t="s">
        <v>90</v>
      </c>
      <c r="C137" s="85">
        <v>40.71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72AE-B449-4482-A162-DE184D92C01C}">
  <dimension ref="A1:J11"/>
  <sheetViews>
    <sheetView topLeftCell="A10" zoomScale="130" zoomScaleNormal="130" workbookViewId="0">
      <selection activeCell="H11" sqref="H11"/>
    </sheetView>
  </sheetViews>
  <sheetFormatPr defaultRowHeight="15"/>
  <cols>
    <col min="1" max="1" width="34.5703125" bestFit="1" customWidth="1"/>
    <col min="2" max="2" width="16.28515625" bestFit="1" customWidth="1"/>
    <col min="3" max="3" width="14.28515625" bestFit="1" customWidth="1"/>
    <col min="4" max="4" width="9.85546875" bestFit="1" customWidth="1"/>
    <col min="5" max="5" width="13.7109375" bestFit="1" customWidth="1"/>
    <col min="6" max="6" width="8.85546875" bestFit="1" customWidth="1"/>
    <col min="7" max="7" width="13.42578125" bestFit="1" customWidth="1"/>
    <col min="8" max="8" width="20.5703125" bestFit="1" customWidth="1"/>
    <col min="9" max="9" width="9.140625" bestFit="1" customWidth="1"/>
    <col min="10" max="11" width="11.28515625" bestFit="1" customWidth="1"/>
  </cols>
  <sheetData>
    <row r="1" spans="1:10">
      <c r="A1" s="10" t="s">
        <v>6</v>
      </c>
      <c r="B1" t="s">
        <v>7</v>
      </c>
    </row>
    <row r="2" spans="1:10">
      <c r="A2" s="10" t="s">
        <v>177</v>
      </c>
      <c r="B2" t="s">
        <v>280</v>
      </c>
    </row>
    <row r="4" spans="1:10">
      <c r="A4" s="10" t="s">
        <v>176</v>
      </c>
      <c r="B4" s="10" t="s">
        <v>54</v>
      </c>
    </row>
    <row r="5" spans="1:10">
      <c r="A5" s="10" t="s">
        <v>52</v>
      </c>
      <c r="B5" t="s">
        <v>13</v>
      </c>
      <c r="C5" t="s">
        <v>32</v>
      </c>
      <c r="D5" t="s">
        <v>179</v>
      </c>
      <c r="E5" t="s">
        <v>242</v>
      </c>
      <c r="F5" t="s">
        <v>15</v>
      </c>
      <c r="G5" t="s">
        <v>243</v>
      </c>
      <c r="H5" t="s">
        <v>246</v>
      </c>
      <c r="I5" t="s">
        <v>10</v>
      </c>
      <c r="J5" t="s">
        <v>53</v>
      </c>
    </row>
    <row r="6" spans="1:10">
      <c r="A6" s="11" t="s">
        <v>71</v>
      </c>
      <c r="B6" s="43">
        <v>4700.1500000000005</v>
      </c>
      <c r="C6" s="43">
        <v>2747.78</v>
      </c>
      <c r="D6" s="43">
        <v>216.93</v>
      </c>
      <c r="E6" s="43">
        <v>650.79</v>
      </c>
      <c r="F6" s="43">
        <v>144.62</v>
      </c>
      <c r="G6" s="43"/>
      <c r="H6" s="43"/>
      <c r="I6" s="43"/>
      <c r="J6" s="43">
        <v>8460.27</v>
      </c>
    </row>
    <row r="7" spans="1:10">
      <c r="A7" s="11" t="s">
        <v>9</v>
      </c>
      <c r="B7" s="43">
        <v>9375.06</v>
      </c>
      <c r="C7" s="43"/>
      <c r="D7" s="43"/>
      <c r="E7" s="43">
        <v>114.33</v>
      </c>
      <c r="F7" s="43"/>
      <c r="G7" s="43"/>
      <c r="H7" s="43"/>
      <c r="I7" s="43"/>
      <c r="J7" s="43">
        <v>9489.39</v>
      </c>
    </row>
    <row r="8" spans="1:10">
      <c r="A8" s="11" t="s">
        <v>31</v>
      </c>
      <c r="B8" s="43">
        <v>4201.75</v>
      </c>
      <c r="C8" s="43">
        <v>5916.75</v>
      </c>
      <c r="D8" s="43"/>
      <c r="E8" s="43"/>
      <c r="F8" s="43">
        <v>85.75</v>
      </c>
      <c r="G8" s="43"/>
      <c r="H8" s="43"/>
      <c r="I8" s="43"/>
      <c r="J8" s="43">
        <v>10204.25</v>
      </c>
    </row>
    <row r="9" spans="1:10">
      <c r="A9" s="11" t="s">
        <v>36</v>
      </c>
      <c r="B9" s="43">
        <v>8950</v>
      </c>
      <c r="C9" s="43"/>
      <c r="D9" s="43">
        <v>1790</v>
      </c>
      <c r="E9" s="43"/>
      <c r="F9" s="43"/>
      <c r="G9" s="43"/>
      <c r="H9" s="43"/>
      <c r="I9" s="43"/>
      <c r="J9" s="43">
        <v>10740</v>
      </c>
    </row>
    <row r="10" spans="1:10">
      <c r="A10" s="11" t="s">
        <v>261</v>
      </c>
      <c r="B10" s="43">
        <v>29371.98</v>
      </c>
      <c r="C10" s="43"/>
      <c r="D10" s="43">
        <v>307.56</v>
      </c>
      <c r="E10" s="43"/>
      <c r="F10" s="43">
        <v>76.89</v>
      </c>
      <c r="G10" s="43">
        <v>153.78</v>
      </c>
      <c r="H10" s="43"/>
      <c r="I10" s="43"/>
      <c r="J10" s="43">
        <v>29910.21</v>
      </c>
    </row>
    <row r="11" spans="1:10">
      <c r="A11" s="11" t="s">
        <v>53</v>
      </c>
      <c r="B11" s="43">
        <v>56598.939999999995</v>
      </c>
      <c r="C11" s="43">
        <v>8664.5300000000007</v>
      </c>
      <c r="D11" s="43">
        <v>2314.4899999999998</v>
      </c>
      <c r="E11" s="43">
        <v>765.12</v>
      </c>
      <c r="F11" s="43">
        <v>307.26</v>
      </c>
      <c r="G11" s="43">
        <v>153.78</v>
      </c>
      <c r="H11" s="43"/>
      <c r="I11" s="43"/>
      <c r="J11" s="43">
        <v>68804.12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D379-5C22-4957-B259-2EBA58643113}">
  <dimension ref="A1:F11"/>
  <sheetViews>
    <sheetView topLeftCell="A4" workbookViewId="0">
      <selection activeCell="H11" sqref="H11"/>
    </sheetView>
  </sheetViews>
  <sheetFormatPr defaultRowHeight="15"/>
  <cols>
    <col min="1" max="1" width="22.140625" bestFit="1" customWidth="1"/>
    <col min="2" max="2" width="17.85546875" bestFit="1" customWidth="1"/>
    <col min="3" max="3" width="9.28515625" bestFit="1" customWidth="1"/>
    <col min="4" max="4" width="8.85546875" bestFit="1" customWidth="1"/>
    <col min="5" max="5" width="13.42578125" bestFit="1" customWidth="1"/>
    <col min="6" max="7" width="11.28515625" bestFit="1" customWidth="1"/>
    <col min="8" max="8" width="8.140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1" spans="1:6">
      <c r="A1" s="10" t="s">
        <v>6</v>
      </c>
      <c r="B1" t="s">
        <v>226</v>
      </c>
    </row>
    <row r="2" spans="1:6">
      <c r="A2" s="10" t="s">
        <v>177</v>
      </c>
      <c r="B2" t="s">
        <v>226</v>
      </c>
    </row>
    <row r="4" spans="1:6">
      <c r="A4" s="10" t="s">
        <v>176</v>
      </c>
      <c r="B4" s="10" t="s">
        <v>54</v>
      </c>
    </row>
    <row r="5" spans="1:6">
      <c r="A5" s="10" t="s">
        <v>52</v>
      </c>
      <c r="B5" t="s">
        <v>15</v>
      </c>
      <c r="C5" t="s">
        <v>93</v>
      </c>
      <c r="D5" t="s">
        <v>13</v>
      </c>
      <c r="E5" t="s">
        <v>243</v>
      </c>
      <c r="F5" t="s">
        <v>53</v>
      </c>
    </row>
    <row r="6" spans="1:6">
      <c r="A6" s="11" t="s">
        <v>20</v>
      </c>
      <c r="B6" s="43">
        <v>956.75000000000011</v>
      </c>
      <c r="C6" s="43"/>
      <c r="D6" s="43"/>
      <c r="E6" s="43"/>
      <c r="F6" s="43">
        <v>956.75000000000011</v>
      </c>
    </row>
    <row r="7" spans="1:6">
      <c r="A7" s="11" t="s">
        <v>11</v>
      </c>
      <c r="B7" s="43">
        <v>1098.8800000000001</v>
      </c>
      <c r="C7" s="43"/>
      <c r="D7" s="43">
        <v>64.64</v>
      </c>
      <c r="E7" s="43"/>
      <c r="F7" s="43">
        <v>1163.5200000000002</v>
      </c>
    </row>
    <row r="8" spans="1:6">
      <c r="A8" s="11" t="s">
        <v>62</v>
      </c>
      <c r="B8" s="43"/>
      <c r="C8" s="43">
        <v>1214.3599999999999</v>
      </c>
      <c r="D8" s="43"/>
      <c r="E8" s="43"/>
      <c r="F8" s="43">
        <v>1214.3599999999999</v>
      </c>
    </row>
    <row r="9" spans="1:6">
      <c r="A9" s="11" t="s">
        <v>14</v>
      </c>
      <c r="B9" s="43">
        <v>738.75</v>
      </c>
      <c r="C9" s="43"/>
      <c r="D9" s="43">
        <v>541.75</v>
      </c>
      <c r="E9" s="43"/>
      <c r="F9" s="43">
        <v>1280.5</v>
      </c>
    </row>
    <row r="10" spans="1:6">
      <c r="A10" s="11" t="s">
        <v>21</v>
      </c>
      <c r="B10" s="43">
        <v>1209.06</v>
      </c>
      <c r="C10" s="43"/>
      <c r="D10" s="43">
        <v>89.56</v>
      </c>
      <c r="E10" s="43"/>
      <c r="F10" s="43">
        <v>1298.6199999999999</v>
      </c>
    </row>
    <row r="11" spans="1:6">
      <c r="A11" s="11" t="s">
        <v>53</v>
      </c>
      <c r="B11" s="43">
        <v>4003.44</v>
      </c>
      <c r="C11" s="43">
        <v>1214.3599999999999</v>
      </c>
      <c r="D11" s="43">
        <v>695.95</v>
      </c>
      <c r="E11" s="43"/>
      <c r="F11" s="43">
        <v>5913.75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538A-8ABD-461A-9C8F-49FE31BE7F69}">
  <dimension ref="A1:E11"/>
  <sheetViews>
    <sheetView topLeftCell="A10" zoomScale="160" zoomScaleNormal="160" workbookViewId="0">
      <selection activeCell="H11" sqref="H11"/>
    </sheetView>
  </sheetViews>
  <sheetFormatPr defaultRowHeight="15"/>
  <cols>
    <col min="1" max="1" width="34.85546875" bestFit="1" customWidth="1"/>
    <col min="2" max="2" width="20.5703125" bestFit="1" customWidth="1"/>
    <col min="3" max="3" width="9.28515625" bestFit="1" customWidth="1"/>
    <col min="4" max="4" width="15" bestFit="1" customWidth="1"/>
    <col min="5" max="5" width="11.28515625" bestFit="1" customWidth="1"/>
    <col min="6" max="6" width="6.28515625" bestFit="1" customWidth="1"/>
    <col min="7" max="7" width="11.28515625" bestFit="1" customWidth="1"/>
    <col min="8" max="8" width="8.140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1" spans="1:5">
      <c r="A1" s="10" t="s">
        <v>6</v>
      </c>
      <c r="B1" t="s">
        <v>28</v>
      </c>
    </row>
    <row r="2" spans="1:5">
      <c r="A2" s="10" t="s">
        <v>177</v>
      </c>
      <c r="B2" t="s">
        <v>226</v>
      </c>
    </row>
    <row r="4" spans="1:5">
      <c r="A4" s="10" t="s">
        <v>176</v>
      </c>
      <c r="B4" s="10" t="s">
        <v>54</v>
      </c>
    </row>
    <row r="5" spans="1:5">
      <c r="A5" s="10" t="s">
        <v>52</v>
      </c>
      <c r="B5" t="s">
        <v>246</v>
      </c>
      <c r="C5" t="s">
        <v>259</v>
      </c>
      <c r="D5" t="s">
        <v>244</v>
      </c>
      <c r="E5" t="s">
        <v>53</v>
      </c>
    </row>
    <row r="6" spans="1:5">
      <c r="A6" s="11" t="s">
        <v>36</v>
      </c>
      <c r="B6" s="43"/>
      <c r="C6" s="43"/>
      <c r="D6" s="43">
        <v>1790</v>
      </c>
      <c r="E6" s="43">
        <v>1790</v>
      </c>
    </row>
    <row r="7" spans="1:5">
      <c r="A7" s="11" t="s">
        <v>110</v>
      </c>
      <c r="B7" s="43">
        <v>26</v>
      </c>
      <c r="C7" s="43">
        <v>2080</v>
      </c>
      <c r="D7" s="43"/>
      <c r="E7" s="43">
        <v>2106</v>
      </c>
    </row>
    <row r="8" spans="1:5">
      <c r="A8" s="11" t="s">
        <v>113</v>
      </c>
      <c r="B8" s="43">
        <v>2562.6999999999998</v>
      </c>
      <c r="C8" s="43"/>
      <c r="D8" s="43">
        <v>52.3</v>
      </c>
      <c r="E8" s="43">
        <v>2615</v>
      </c>
    </row>
    <row r="9" spans="1:5">
      <c r="A9" s="11" t="s">
        <v>85</v>
      </c>
      <c r="B9" s="43">
        <v>3519</v>
      </c>
      <c r="C9" s="43"/>
      <c r="D9" s="43">
        <v>58.650000000000006</v>
      </c>
      <c r="E9" s="43">
        <v>3577.65</v>
      </c>
    </row>
    <row r="10" spans="1:5">
      <c r="A10" s="11" t="s">
        <v>111</v>
      </c>
      <c r="B10" s="43"/>
      <c r="C10" s="43">
        <v>3968.04</v>
      </c>
      <c r="D10" s="43"/>
      <c r="E10" s="43">
        <v>3968.04</v>
      </c>
    </row>
    <row r="11" spans="1:5">
      <c r="A11" s="11" t="s">
        <v>53</v>
      </c>
      <c r="B11" s="43">
        <v>6107.7</v>
      </c>
      <c r="C11" s="43">
        <v>6048.04</v>
      </c>
      <c r="D11" s="43">
        <v>1900.95</v>
      </c>
      <c r="E11" s="43">
        <v>14056.689999999999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59E3-E989-4BBB-A367-5718D9031FA8}">
  <dimension ref="A1:B13"/>
  <sheetViews>
    <sheetView zoomScaleNormal="100" workbookViewId="0">
      <selection activeCell="H11" sqref="H11"/>
    </sheetView>
  </sheetViews>
  <sheetFormatPr defaultRowHeight="15"/>
  <cols>
    <col min="1" max="1" width="20" bestFit="1" customWidth="1"/>
    <col min="2" max="2" width="10.85546875" bestFit="1" customWidth="1"/>
    <col min="3" max="3" width="14.28515625" bestFit="1" customWidth="1"/>
    <col min="4" max="4" width="9.140625" bestFit="1" customWidth="1"/>
    <col min="5" max="5" width="7" bestFit="1" customWidth="1"/>
    <col min="6" max="6" width="6.28515625" bestFit="1" customWidth="1"/>
    <col min="7" max="7" width="9.5703125" bestFit="1" customWidth="1"/>
    <col min="8" max="8" width="11.28515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1" spans="1:2">
      <c r="A1" s="10" t="s">
        <v>6</v>
      </c>
      <c r="B1" t="s">
        <v>7</v>
      </c>
    </row>
    <row r="2" spans="1:2">
      <c r="A2" s="10" t="s">
        <v>177</v>
      </c>
      <c r="B2" t="s">
        <v>280</v>
      </c>
    </row>
    <row r="4" spans="1:2">
      <c r="A4" s="10" t="s">
        <v>52</v>
      </c>
      <c r="B4" t="s">
        <v>51</v>
      </c>
    </row>
    <row r="5" spans="1:2">
      <c r="A5" s="11" t="s">
        <v>13</v>
      </c>
      <c r="B5" s="44">
        <v>0.75593952483801297</v>
      </c>
    </row>
    <row r="6" spans="1:2">
      <c r="A6" s="11" t="s">
        <v>32</v>
      </c>
      <c r="B6" s="44">
        <v>0.11771058315334773</v>
      </c>
    </row>
    <row r="7" spans="1:2">
      <c r="A7" s="11" t="s">
        <v>246</v>
      </c>
      <c r="B7" s="44">
        <v>5.0755939524838013E-2</v>
      </c>
    </row>
    <row r="8" spans="1:2">
      <c r="A8" s="11" t="s">
        <v>10</v>
      </c>
      <c r="B8" s="44">
        <v>2.4838012958963283E-2</v>
      </c>
    </row>
    <row r="9" spans="1:2">
      <c r="A9" s="11" t="s">
        <v>179</v>
      </c>
      <c r="B9" s="44">
        <v>2.3758099352051837E-2</v>
      </c>
    </row>
    <row r="10" spans="1:2">
      <c r="A10" s="11" t="s">
        <v>242</v>
      </c>
      <c r="B10" s="44">
        <v>1.8358531317494601E-2</v>
      </c>
    </row>
    <row r="11" spans="1:2">
      <c r="A11" s="11" t="s">
        <v>15</v>
      </c>
      <c r="B11" s="44">
        <v>6.4794816414686825E-3</v>
      </c>
    </row>
    <row r="12" spans="1:2">
      <c r="A12" s="11" t="s">
        <v>243</v>
      </c>
      <c r="B12" s="44">
        <v>2.1598272138228943E-3</v>
      </c>
    </row>
    <row r="13" spans="1:2">
      <c r="A13" s="11" t="s">
        <v>53</v>
      </c>
      <c r="B13" s="44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F457-5337-4B1B-9E56-38B0260975C2}">
  <dimension ref="A1:B9"/>
  <sheetViews>
    <sheetView zoomScale="145" zoomScaleNormal="145" workbookViewId="0">
      <selection activeCell="H11" sqref="H11"/>
    </sheetView>
  </sheetViews>
  <sheetFormatPr defaultRowHeight="15"/>
  <cols>
    <col min="1" max="1" width="13.42578125" bestFit="1" customWidth="1"/>
    <col min="2" max="2" width="12" bestFit="1" customWidth="1"/>
    <col min="3" max="3" width="8" bestFit="1" customWidth="1"/>
    <col min="4" max="4" width="8.85546875" bestFit="1" customWidth="1"/>
    <col min="5" max="5" width="11.28515625" bestFit="1" customWidth="1"/>
    <col min="6" max="6" width="9.140625" bestFit="1" customWidth="1"/>
    <col min="7" max="7" width="11.28515625" bestFit="1" customWidth="1"/>
    <col min="8" max="8" width="8.140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1" spans="1:2">
      <c r="A1" s="10" t="s">
        <v>6</v>
      </c>
      <c r="B1" t="s">
        <v>12</v>
      </c>
    </row>
    <row r="2" spans="1:2">
      <c r="A2" s="10" t="s">
        <v>177</v>
      </c>
      <c r="B2" t="s">
        <v>280</v>
      </c>
    </row>
    <row r="4" spans="1:2">
      <c r="A4" s="10" t="s">
        <v>52</v>
      </c>
      <c r="B4" t="s">
        <v>51</v>
      </c>
    </row>
    <row r="5" spans="1:2">
      <c r="A5" s="11" t="s">
        <v>15</v>
      </c>
      <c r="B5" s="44">
        <v>0.77892561983471076</v>
      </c>
    </row>
    <row r="6" spans="1:2">
      <c r="A6" s="11" t="s">
        <v>13</v>
      </c>
      <c r="B6" s="44">
        <v>0.13429752066115702</v>
      </c>
    </row>
    <row r="7" spans="1:2">
      <c r="A7" s="11" t="s">
        <v>93</v>
      </c>
      <c r="B7" s="44">
        <v>7.2314049586776855E-2</v>
      </c>
    </row>
    <row r="8" spans="1:2">
      <c r="A8" s="11" t="s">
        <v>243</v>
      </c>
      <c r="B8" s="44">
        <v>1.4462809917355372E-2</v>
      </c>
    </row>
    <row r="9" spans="1:2">
      <c r="A9" s="11" t="s">
        <v>53</v>
      </c>
      <c r="B9" s="44">
        <v>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5173-6258-4FC0-892E-C8BFD10354AD}">
  <dimension ref="A1:B11"/>
  <sheetViews>
    <sheetView zoomScale="145" zoomScaleNormal="145" workbookViewId="0">
      <selection activeCell="H11" sqref="H11"/>
    </sheetView>
  </sheetViews>
  <sheetFormatPr defaultRowHeight="15"/>
  <cols>
    <col min="1" max="1" width="20" bestFit="1" customWidth="1"/>
    <col min="2" max="2" width="10.7109375" bestFit="1" customWidth="1"/>
    <col min="3" max="3" width="22.140625" bestFit="1" customWidth="1"/>
    <col min="4" max="4" width="11.28515625" bestFit="1" customWidth="1"/>
    <col min="5" max="5" width="7" bestFit="1" customWidth="1"/>
    <col min="6" max="6" width="6.28515625" bestFit="1" customWidth="1"/>
    <col min="7" max="7" width="11.28515625" bestFit="1" customWidth="1"/>
    <col min="8" max="8" width="8.140625" bestFit="1" customWidth="1"/>
    <col min="9" max="9" width="6.28515625" bestFit="1" customWidth="1"/>
    <col min="10" max="10" width="8.85546875" bestFit="1" customWidth="1"/>
    <col min="11" max="11" width="11.28515625" bestFit="1" customWidth="1"/>
  </cols>
  <sheetData>
    <row r="1" spans="1:2">
      <c r="A1" s="10" t="s">
        <v>6</v>
      </c>
      <c r="B1" t="s">
        <v>28</v>
      </c>
    </row>
    <row r="2" spans="1:2">
      <c r="A2" s="10" t="s">
        <v>177</v>
      </c>
      <c r="B2" t="s">
        <v>280</v>
      </c>
    </row>
    <row r="4" spans="1:2">
      <c r="A4" s="10" t="s">
        <v>52</v>
      </c>
      <c r="B4" t="s">
        <v>51</v>
      </c>
    </row>
    <row r="5" spans="1:2">
      <c r="A5" s="11" t="s">
        <v>246</v>
      </c>
      <c r="B5" s="44">
        <v>0.35645472061657035</v>
      </c>
    </row>
    <row r="6" spans="1:2">
      <c r="A6" s="11" t="s">
        <v>259</v>
      </c>
      <c r="B6" s="44">
        <v>0.24277456647398843</v>
      </c>
    </row>
    <row r="7" spans="1:2">
      <c r="A7" s="11" t="s">
        <v>29</v>
      </c>
      <c r="B7" s="44">
        <v>0.22832369942196531</v>
      </c>
    </row>
    <row r="8" spans="1:2">
      <c r="A8" s="11" t="s">
        <v>244</v>
      </c>
      <c r="B8" s="44">
        <v>0.1464354527938343</v>
      </c>
    </row>
    <row r="9" spans="1:2">
      <c r="A9" s="11" t="s">
        <v>179</v>
      </c>
      <c r="B9" s="44">
        <v>2.5048169556840076E-2</v>
      </c>
    </row>
    <row r="10" spans="1:2">
      <c r="A10" s="11" t="s">
        <v>13</v>
      </c>
      <c r="B10" s="44">
        <v>9.6339113680154141E-4</v>
      </c>
    </row>
    <row r="11" spans="1:2">
      <c r="A11" s="11" t="s">
        <v>53</v>
      </c>
      <c r="B11" s="44">
        <v>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5D3C-5519-4A35-B088-272C223E4B94}">
  <dimension ref="A1:M10"/>
  <sheetViews>
    <sheetView workbookViewId="0">
      <selection activeCell="H11" sqref="H11"/>
    </sheetView>
  </sheetViews>
  <sheetFormatPr defaultRowHeight="15"/>
  <cols>
    <col min="1" max="1" width="34.5703125" bestFit="1" customWidth="1"/>
    <col min="2" max="2" width="16.28515625" bestFit="1" customWidth="1"/>
    <col min="3" max="3" width="13.42578125" bestFit="1" customWidth="1"/>
    <col min="4" max="4" width="5.85546875" bestFit="1" customWidth="1"/>
    <col min="5" max="5" width="9.140625" bestFit="1" customWidth="1"/>
    <col min="6" max="6" width="14.28515625" bestFit="1" customWidth="1"/>
    <col min="7" max="7" width="7" bestFit="1" customWidth="1"/>
    <col min="8" max="8" width="20.5703125" bestFit="1" customWidth="1"/>
    <col min="9" max="9" width="15" bestFit="1" customWidth="1"/>
    <col min="10" max="10" width="13.7109375" bestFit="1" customWidth="1"/>
    <col min="11" max="11" width="8.85546875" bestFit="1" customWidth="1"/>
    <col min="12" max="12" width="8" bestFit="1" customWidth="1"/>
    <col min="13" max="15" width="11.28515625" bestFit="1" customWidth="1"/>
    <col min="16" max="16" width="15" bestFit="1" customWidth="1"/>
    <col min="17" max="17" width="13.7109375" bestFit="1" customWidth="1"/>
    <col min="18" max="18" width="6.28515625" bestFit="1" customWidth="1"/>
    <col min="19" max="19" width="8.85546875" bestFit="1" customWidth="1"/>
    <col min="20" max="20" width="10" bestFit="1" customWidth="1"/>
    <col min="21" max="21" width="9" bestFit="1" customWidth="1"/>
    <col min="22" max="22" width="4.28515625" bestFit="1" customWidth="1"/>
    <col min="23" max="23" width="9" bestFit="1" customWidth="1"/>
    <col min="24" max="24" width="11.28515625" bestFit="1" customWidth="1"/>
  </cols>
  <sheetData>
    <row r="1" spans="1:13">
      <c r="A1" s="10" t="s">
        <v>177</v>
      </c>
      <c r="B1" s="11">
        <v>2025</v>
      </c>
    </row>
    <row r="3" spans="1:13">
      <c r="A3" s="10" t="s">
        <v>176</v>
      </c>
      <c r="B3" s="10" t="s">
        <v>54</v>
      </c>
    </row>
    <row r="4" spans="1:13">
      <c r="A4" s="10" t="s">
        <v>52</v>
      </c>
      <c r="B4" t="s">
        <v>13</v>
      </c>
      <c r="C4" t="s">
        <v>243</v>
      </c>
      <c r="D4" t="s">
        <v>29</v>
      </c>
      <c r="E4" t="s">
        <v>93</v>
      </c>
      <c r="F4" t="s">
        <v>32</v>
      </c>
      <c r="G4" t="s">
        <v>179</v>
      </c>
      <c r="H4" t="s">
        <v>246</v>
      </c>
      <c r="I4" t="s">
        <v>244</v>
      </c>
      <c r="J4" t="s">
        <v>242</v>
      </c>
      <c r="K4" t="s">
        <v>15</v>
      </c>
      <c r="L4" t="s">
        <v>259</v>
      </c>
      <c r="M4" t="s">
        <v>53</v>
      </c>
    </row>
    <row r="5" spans="1:13">
      <c r="A5" s="11" t="s">
        <v>261</v>
      </c>
      <c r="B5" s="9">
        <v>29295.09</v>
      </c>
      <c r="C5" s="9"/>
      <c r="D5" s="9"/>
      <c r="E5" s="9"/>
      <c r="F5" s="9"/>
      <c r="G5" s="9">
        <v>307.56</v>
      </c>
      <c r="H5" s="9"/>
      <c r="I5" s="9"/>
      <c r="J5" s="9"/>
      <c r="K5" s="9">
        <v>76.89</v>
      </c>
      <c r="L5" s="9"/>
      <c r="M5" s="9">
        <v>29679.54</v>
      </c>
    </row>
    <row r="6" spans="1:13">
      <c r="A6" s="11" t="s">
        <v>36</v>
      </c>
      <c r="B6" s="9">
        <v>8950</v>
      </c>
      <c r="C6" s="9"/>
      <c r="D6" s="9"/>
      <c r="E6" s="9"/>
      <c r="F6" s="9"/>
      <c r="G6" s="9">
        <v>358</v>
      </c>
      <c r="H6" s="9"/>
      <c r="I6" s="9">
        <v>1790</v>
      </c>
      <c r="J6" s="9"/>
      <c r="K6" s="9"/>
      <c r="L6" s="9"/>
      <c r="M6" s="9">
        <v>11098</v>
      </c>
    </row>
    <row r="7" spans="1:13">
      <c r="A7" s="11" t="s">
        <v>71</v>
      </c>
      <c r="B7" s="9">
        <v>2313.92</v>
      </c>
      <c r="C7" s="9"/>
      <c r="D7" s="9"/>
      <c r="E7" s="9"/>
      <c r="F7" s="9">
        <v>1807.75</v>
      </c>
      <c r="G7" s="9">
        <v>216.93</v>
      </c>
      <c r="H7" s="9">
        <v>72.31</v>
      </c>
      <c r="I7" s="9">
        <v>72.31</v>
      </c>
      <c r="J7" s="9">
        <v>216.93</v>
      </c>
      <c r="K7" s="9">
        <v>144.62</v>
      </c>
      <c r="L7" s="9"/>
      <c r="M7" s="9">
        <v>4844.7700000000013</v>
      </c>
    </row>
    <row r="8" spans="1:13">
      <c r="A8" s="11" t="s">
        <v>3</v>
      </c>
      <c r="B8" s="9">
        <v>2295</v>
      </c>
      <c r="C8" s="9"/>
      <c r="D8" s="9"/>
      <c r="E8" s="9"/>
      <c r="F8" s="9"/>
      <c r="G8" s="9"/>
      <c r="H8" s="9">
        <v>85</v>
      </c>
      <c r="I8" s="9">
        <v>1615</v>
      </c>
      <c r="J8" s="9">
        <v>85</v>
      </c>
      <c r="K8" s="9"/>
      <c r="L8" s="9"/>
      <c r="M8" s="9">
        <v>4080</v>
      </c>
    </row>
    <row r="9" spans="1:13">
      <c r="A9" s="11" t="s">
        <v>111</v>
      </c>
      <c r="B9" s="9"/>
      <c r="C9" s="9"/>
      <c r="D9" s="9"/>
      <c r="E9" s="9"/>
      <c r="F9" s="9"/>
      <c r="G9" s="9"/>
      <c r="H9" s="9"/>
      <c r="I9" s="9"/>
      <c r="J9" s="9"/>
      <c r="K9" s="9"/>
      <c r="L9" s="9">
        <v>3968.04</v>
      </c>
      <c r="M9" s="9">
        <v>3968.04</v>
      </c>
    </row>
    <row r="10" spans="1:13">
      <c r="A10" s="11" t="s">
        <v>53</v>
      </c>
      <c r="B10" s="9">
        <v>42854.01</v>
      </c>
      <c r="C10" s="9"/>
      <c r="D10" s="9"/>
      <c r="E10" s="9"/>
      <c r="F10" s="9">
        <v>1807.75</v>
      </c>
      <c r="G10" s="9">
        <v>882.49</v>
      </c>
      <c r="H10" s="9">
        <v>157.31</v>
      </c>
      <c r="I10" s="9">
        <v>3477.31</v>
      </c>
      <c r="J10" s="9">
        <v>301.93</v>
      </c>
      <c r="K10" s="9">
        <v>221.51</v>
      </c>
      <c r="L10" s="9">
        <v>3968.04</v>
      </c>
      <c r="M10" s="9">
        <v>53670.350000000006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A52F-E785-40E8-8590-21950FED2D15}">
  <dimension ref="A1:M10"/>
  <sheetViews>
    <sheetView topLeftCell="A10" workbookViewId="0">
      <selection activeCell="H11" sqref="H11"/>
    </sheetView>
  </sheetViews>
  <sheetFormatPr defaultRowHeight="15"/>
  <cols>
    <col min="1" max="1" width="34.85546875" bestFit="1" customWidth="1"/>
    <col min="2" max="2" width="16.28515625" bestFit="1" customWidth="1"/>
    <col min="3" max="3" width="13.42578125" bestFit="1" customWidth="1"/>
    <col min="4" max="4" width="5.85546875" bestFit="1" customWidth="1"/>
    <col min="5" max="5" width="9.140625" bestFit="1" customWidth="1"/>
    <col min="6" max="6" width="14.28515625" bestFit="1" customWidth="1"/>
    <col min="7" max="7" width="6.85546875" bestFit="1" customWidth="1"/>
    <col min="8" max="8" width="20.5703125" bestFit="1" customWidth="1"/>
    <col min="9" max="9" width="15" bestFit="1" customWidth="1"/>
    <col min="10" max="10" width="13.7109375" bestFit="1" customWidth="1"/>
    <col min="11" max="11" width="8.85546875" bestFit="1" customWidth="1"/>
    <col min="12" max="12" width="4.28515625" bestFit="1" customWidth="1"/>
    <col min="13" max="15" width="11.28515625" bestFit="1" customWidth="1"/>
    <col min="16" max="16" width="8.85546875" bestFit="1" customWidth="1"/>
    <col min="17" max="17" width="10" bestFit="1" customWidth="1"/>
    <col min="18" max="18" width="9" bestFit="1" customWidth="1"/>
    <col min="19" max="19" width="11.28515625" bestFit="1" customWidth="1"/>
    <col min="20" max="20" width="8.85546875" bestFit="1" customWidth="1"/>
    <col min="21" max="21" width="7.28515625" bestFit="1" customWidth="1"/>
    <col min="22" max="22" width="11.28515625" bestFit="1" customWidth="1"/>
  </cols>
  <sheetData>
    <row r="1" spans="1:13">
      <c r="A1" s="10" t="s">
        <v>177</v>
      </c>
      <c r="B1" s="11">
        <v>2025</v>
      </c>
    </row>
    <row r="3" spans="1:13">
      <c r="A3" s="10" t="s">
        <v>51</v>
      </c>
      <c r="B3" s="10" t="s">
        <v>54</v>
      </c>
    </row>
    <row r="4" spans="1:13">
      <c r="A4" s="10" t="s">
        <v>52</v>
      </c>
      <c r="B4" t="s">
        <v>13</v>
      </c>
      <c r="C4" t="s">
        <v>243</v>
      </c>
      <c r="D4" t="s">
        <v>29</v>
      </c>
      <c r="E4" t="s">
        <v>93</v>
      </c>
      <c r="F4" t="s">
        <v>32</v>
      </c>
      <c r="G4" t="s">
        <v>179</v>
      </c>
      <c r="H4" t="s">
        <v>246</v>
      </c>
      <c r="I4" t="s">
        <v>244</v>
      </c>
      <c r="J4" t="s">
        <v>242</v>
      </c>
      <c r="K4" t="s">
        <v>15</v>
      </c>
      <c r="L4" t="s">
        <v>259</v>
      </c>
      <c r="M4" t="s">
        <v>53</v>
      </c>
    </row>
    <row r="5" spans="1:13">
      <c r="A5" s="11" t="s">
        <v>261</v>
      </c>
      <c r="B5" s="9">
        <v>381</v>
      </c>
      <c r="C5" s="9"/>
      <c r="D5" s="9"/>
      <c r="E5" s="9"/>
      <c r="F5" s="9"/>
      <c r="G5" s="9">
        <v>4</v>
      </c>
      <c r="H5" s="9"/>
      <c r="I5" s="9"/>
      <c r="J5" s="9"/>
      <c r="K5" s="9">
        <v>1</v>
      </c>
      <c r="L5" s="9"/>
      <c r="M5" s="9">
        <v>386</v>
      </c>
    </row>
    <row r="6" spans="1:13">
      <c r="A6" s="11" t="s">
        <v>85</v>
      </c>
      <c r="B6" s="9"/>
      <c r="C6" s="9"/>
      <c r="D6" s="9"/>
      <c r="E6" s="9"/>
      <c r="F6" s="9"/>
      <c r="G6" s="9"/>
      <c r="H6" s="9">
        <v>180</v>
      </c>
      <c r="I6" s="9">
        <v>3</v>
      </c>
      <c r="J6" s="9"/>
      <c r="K6" s="9"/>
      <c r="L6" s="9"/>
      <c r="M6" s="9">
        <v>183</v>
      </c>
    </row>
    <row r="7" spans="1:13">
      <c r="A7" s="11" t="s">
        <v>111</v>
      </c>
      <c r="B7" s="9"/>
      <c r="C7" s="9"/>
      <c r="D7" s="9"/>
      <c r="E7" s="9"/>
      <c r="F7" s="9"/>
      <c r="G7" s="9"/>
      <c r="H7" s="9"/>
      <c r="I7" s="9"/>
      <c r="J7" s="9"/>
      <c r="K7" s="9"/>
      <c r="L7" s="9">
        <v>172</v>
      </c>
      <c r="M7" s="9">
        <v>172</v>
      </c>
    </row>
    <row r="8" spans="1:13">
      <c r="A8" s="11" t="s">
        <v>27</v>
      </c>
      <c r="B8" s="9"/>
      <c r="C8" s="9"/>
      <c r="D8" s="9">
        <v>67</v>
      </c>
      <c r="E8" s="9"/>
      <c r="F8" s="9"/>
      <c r="G8" s="9"/>
      <c r="H8" s="9">
        <v>67</v>
      </c>
      <c r="I8" s="9"/>
      <c r="J8" s="9"/>
      <c r="K8" s="9"/>
      <c r="L8" s="9"/>
      <c r="M8" s="9">
        <v>134</v>
      </c>
    </row>
    <row r="9" spans="1:13">
      <c r="A9" s="11" t="s">
        <v>110</v>
      </c>
      <c r="B9" s="9"/>
      <c r="C9" s="9"/>
      <c r="D9" s="9"/>
      <c r="E9" s="9"/>
      <c r="F9" s="9"/>
      <c r="G9" s="9"/>
      <c r="H9" s="9">
        <v>1</v>
      </c>
      <c r="I9" s="9"/>
      <c r="J9" s="9"/>
      <c r="K9" s="9"/>
      <c r="L9" s="9">
        <v>80</v>
      </c>
      <c r="M9" s="9">
        <v>81</v>
      </c>
    </row>
    <row r="10" spans="1:13">
      <c r="A10" s="11" t="s">
        <v>53</v>
      </c>
      <c r="B10" s="9">
        <v>381</v>
      </c>
      <c r="C10" s="9"/>
      <c r="D10" s="9">
        <v>67</v>
      </c>
      <c r="E10" s="9"/>
      <c r="F10" s="9"/>
      <c r="G10" s="9">
        <v>4</v>
      </c>
      <c r="H10" s="9">
        <v>248</v>
      </c>
      <c r="I10" s="9">
        <v>3</v>
      </c>
      <c r="J10" s="9"/>
      <c r="K10" s="9">
        <v>1</v>
      </c>
      <c r="L10" s="9">
        <v>252</v>
      </c>
      <c r="M10" s="9">
        <v>956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C61F-41F5-4698-BA85-CBC378190C56}">
  <dimension ref="A5:E21"/>
  <sheetViews>
    <sheetView topLeftCell="A22" zoomScaleNormal="100" workbookViewId="0">
      <selection activeCell="H11" sqref="H11"/>
    </sheetView>
  </sheetViews>
  <sheetFormatPr defaultRowHeight="15"/>
  <cols>
    <col min="1" max="1" width="13.140625" bestFit="1" customWidth="1"/>
    <col min="2" max="2" width="16.28515625" bestFit="1" customWidth="1"/>
    <col min="3" max="3" width="8.140625" bestFit="1" customWidth="1"/>
    <col min="4" max="4" width="9.7109375" bestFit="1" customWidth="1"/>
    <col min="5" max="5" width="11.28515625" bestFit="1" customWidth="1"/>
    <col min="6" max="6" width="9.140625" bestFit="1" customWidth="1"/>
    <col min="7" max="7" width="20.5703125" bestFit="1" customWidth="1"/>
    <col min="8" max="8" width="8.85546875" bestFit="1" customWidth="1"/>
    <col min="9" max="12" width="11.28515625" bestFit="1" customWidth="1"/>
    <col min="13" max="13" width="10" bestFit="1" customWidth="1"/>
    <col min="14" max="14" width="8.85546875" bestFit="1" customWidth="1"/>
    <col min="15" max="15" width="11.28515625" bestFit="1" customWidth="1"/>
  </cols>
  <sheetData>
    <row r="5" spans="1:5">
      <c r="A5" s="10" t="s">
        <v>51</v>
      </c>
      <c r="B5" s="10" t="s">
        <v>54</v>
      </c>
    </row>
    <row r="6" spans="1:5">
      <c r="A6" s="10" t="s">
        <v>52</v>
      </c>
      <c r="B6" t="s">
        <v>7</v>
      </c>
      <c r="C6" t="s">
        <v>28</v>
      </c>
      <c r="D6" t="s">
        <v>12</v>
      </c>
      <c r="E6" t="s">
        <v>53</v>
      </c>
    </row>
    <row r="7" spans="1:5">
      <c r="A7" s="11">
        <v>2024</v>
      </c>
      <c r="B7" s="9">
        <v>309</v>
      </c>
      <c r="C7" s="9">
        <v>279</v>
      </c>
      <c r="D7" s="9">
        <v>260</v>
      </c>
      <c r="E7" s="9">
        <v>848</v>
      </c>
    </row>
    <row r="8" spans="1:5">
      <c r="A8" s="98" t="s">
        <v>34</v>
      </c>
      <c r="B8" s="9">
        <v>48</v>
      </c>
      <c r="C8" s="9">
        <v>59</v>
      </c>
      <c r="D8" s="9">
        <v>43</v>
      </c>
      <c r="E8" s="9">
        <v>150</v>
      </c>
    </row>
    <row r="9" spans="1:5">
      <c r="A9" s="98" t="s">
        <v>273</v>
      </c>
      <c r="B9" s="9">
        <v>48</v>
      </c>
      <c r="C9" s="9">
        <v>64</v>
      </c>
      <c r="D9" s="9">
        <v>53</v>
      </c>
      <c r="E9" s="9">
        <v>165</v>
      </c>
    </row>
    <row r="10" spans="1:5">
      <c r="A10" s="98" t="s">
        <v>274</v>
      </c>
      <c r="B10" s="9">
        <v>37</v>
      </c>
      <c r="C10" s="9">
        <v>13</v>
      </c>
      <c r="D10" s="9">
        <v>26</v>
      </c>
      <c r="E10" s="9">
        <v>76</v>
      </c>
    </row>
    <row r="11" spans="1:5">
      <c r="A11" s="98" t="s">
        <v>275</v>
      </c>
      <c r="B11" s="9">
        <v>90</v>
      </c>
      <c r="C11" s="9">
        <v>47</v>
      </c>
      <c r="D11" s="9">
        <v>70</v>
      </c>
      <c r="E11" s="9">
        <v>207</v>
      </c>
    </row>
    <row r="12" spans="1:5">
      <c r="A12" s="98" t="s">
        <v>276</v>
      </c>
      <c r="B12" s="9">
        <v>53</v>
      </c>
      <c r="C12" s="9">
        <v>30</v>
      </c>
      <c r="D12" s="9">
        <v>48</v>
      </c>
      <c r="E12" s="9">
        <v>131</v>
      </c>
    </row>
    <row r="13" spans="1:5">
      <c r="A13" s="98" t="s">
        <v>277</v>
      </c>
      <c r="B13" s="9">
        <v>33</v>
      </c>
      <c r="C13" s="9">
        <v>66</v>
      </c>
      <c r="D13" s="9">
        <v>20</v>
      </c>
      <c r="E13" s="9">
        <v>119</v>
      </c>
    </row>
    <row r="14" spans="1:5">
      <c r="A14" s="11">
        <v>2025</v>
      </c>
      <c r="B14" s="9">
        <v>617</v>
      </c>
      <c r="C14" s="9">
        <v>759</v>
      </c>
      <c r="D14" s="9">
        <v>224</v>
      </c>
      <c r="E14" s="9">
        <v>1600</v>
      </c>
    </row>
    <row r="15" spans="1:5">
      <c r="A15" s="98" t="s">
        <v>255</v>
      </c>
      <c r="B15" s="9">
        <v>36</v>
      </c>
      <c r="C15" s="9">
        <v>57</v>
      </c>
      <c r="D15" s="9">
        <v>33</v>
      </c>
      <c r="E15" s="9">
        <v>126</v>
      </c>
    </row>
    <row r="16" spans="1:5">
      <c r="A16" s="98" t="s">
        <v>256</v>
      </c>
      <c r="B16" s="9">
        <v>329</v>
      </c>
      <c r="C16" s="9">
        <v>45</v>
      </c>
      <c r="D16" s="9">
        <v>28</v>
      </c>
      <c r="E16" s="9">
        <v>402</v>
      </c>
    </row>
    <row r="17" spans="1:5">
      <c r="A17" s="98" t="s">
        <v>257</v>
      </c>
      <c r="B17" s="9">
        <v>53</v>
      </c>
      <c r="C17" s="9">
        <v>51</v>
      </c>
      <c r="D17" s="9">
        <v>37</v>
      </c>
      <c r="E17" s="9">
        <v>141</v>
      </c>
    </row>
    <row r="18" spans="1:5">
      <c r="A18" s="98" t="s">
        <v>258</v>
      </c>
      <c r="B18" s="9">
        <v>50</v>
      </c>
      <c r="C18" s="9">
        <v>177</v>
      </c>
      <c r="D18" s="9">
        <v>31</v>
      </c>
      <c r="E18" s="9">
        <v>258</v>
      </c>
    </row>
    <row r="19" spans="1:5">
      <c r="A19" s="98" t="s">
        <v>278</v>
      </c>
      <c r="B19" s="9">
        <v>45</v>
      </c>
      <c r="C19" s="9">
        <v>263</v>
      </c>
      <c r="D19" s="9">
        <v>52</v>
      </c>
      <c r="E19" s="9">
        <v>360</v>
      </c>
    </row>
    <row r="20" spans="1:5">
      <c r="A20" s="98" t="s">
        <v>279</v>
      </c>
      <c r="B20" s="9">
        <v>104</v>
      </c>
      <c r="C20" s="9">
        <v>166</v>
      </c>
      <c r="D20" s="9">
        <v>43</v>
      </c>
      <c r="E20" s="9">
        <v>313</v>
      </c>
    </row>
    <row r="21" spans="1:5">
      <c r="A21" s="11" t="s">
        <v>53</v>
      </c>
      <c r="B21" s="9">
        <v>926</v>
      </c>
      <c r="C21" s="9">
        <v>1038</v>
      </c>
      <c r="D21" s="9">
        <v>484</v>
      </c>
      <c r="E21" s="9">
        <v>2448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SCRAP DATA 24 -25 fy (2)</vt:lpstr>
      <vt:lpstr>SCRAP DATATABLE</vt:lpstr>
      <vt:lpstr>SCRAP DATA</vt:lpstr>
      <vt:lpstr>HAMMER</vt:lpstr>
      <vt:lpstr>IRONTOOL</vt:lpstr>
      <vt:lpstr>HANDLE</vt:lpstr>
      <vt:lpstr>TABLE</vt:lpstr>
      <vt:lpstr>HAMMER CST</vt:lpstr>
      <vt:lpstr>IRONTOOL CST</vt:lpstr>
      <vt:lpstr>HANDLE CST</vt:lpstr>
      <vt:lpstr>HAMMER CON</vt:lpstr>
      <vt:lpstr>IRONTOOL CON</vt:lpstr>
      <vt:lpstr>HANDLE CON</vt:lpstr>
      <vt:lpstr>top5</vt:lpstr>
      <vt:lpstr>top5 (2)</vt:lpstr>
      <vt:lpstr>HAMMER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Tumi Masilela</dc:creator>
  <cp:lastModifiedBy>Tumi Masilela</cp:lastModifiedBy>
  <cp:lastPrinted>2024-07-30T06:10:17Z</cp:lastPrinted>
  <dcterms:created xsi:type="dcterms:W3CDTF">2024-07-03T11:07:29Z</dcterms:created>
  <dcterms:modified xsi:type="dcterms:W3CDTF">2026-06-06T06:58:18Z</dcterms:modified>
</cp:coreProperties>
</file>