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5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6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7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8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9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0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1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2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3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4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5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6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7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8.xml" ContentType="application/vnd.openxmlformats-officedocument.themeOverride+xml"/>
  <Override PartName="/xl/charts/chart21.xml" ContentType="application/vnd.openxmlformats-officedocument.drawingml.chart+xml"/>
  <Override PartName="/xl/theme/themeOverride19.xml" ContentType="application/vnd.openxmlformats-officedocument.themeOverrid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0.xml" ContentType="application/vnd.openxmlformats-officedocument.themeOverrid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1.xml" ContentType="application/vnd.openxmlformats-officedocument.themeOverrid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\\ltdc02\Users$\Tumim\SHEQ\SHE System\7.Incidents\"/>
    </mc:Choice>
  </mc:AlternateContent>
  <xr:revisionPtr revIDLastSave="0" documentId="13_ncr:1_{59184D8E-8F25-4C9B-A756-C17F3C53DCF5}" xr6:coauthVersionLast="47" xr6:coauthVersionMax="47" xr10:uidLastSave="{00000000-0000-0000-0000-000000000000}"/>
  <bookViews>
    <workbookView xWindow="-120" yWindow="-120" windowWidth="24240" windowHeight="13140" tabRatio="881" xr2:uid="{00000000-000D-0000-FFFF-FFFF00000000}"/>
  </bookViews>
  <sheets>
    <sheet name="DASHBOARD" sheetId="17" r:id="rId1"/>
    <sheet name="Injury.Dept" sheetId="34" state="hidden" r:id="rId2"/>
    <sheet name="Firstaid" sheetId="33" r:id="rId3"/>
    <sheet name="Injury type" sheetId="18" state="hidden" r:id="rId4"/>
    <sheet name="DATATABLE" sheetId="13" state="hidden" r:id="rId5"/>
    <sheet name="LTI" sheetId="16" state="hidden" r:id="rId6"/>
    <sheet name="LTIs.MONTH" sheetId="15" r:id="rId7"/>
    <sheet name="IOD TIMELOST" sheetId="30" state="hidden" r:id="rId8"/>
    <sheet name="Day of incident" sheetId="31" state="hidden" r:id="rId9"/>
    <sheet name="NO OF IOD" sheetId="29" state="hidden" r:id="rId10"/>
    <sheet name="SAFETY DATA" sheetId="14" r:id="rId11"/>
    <sheet name="Day of incident (2)" sheetId="35" state="hidden" r:id="rId12"/>
    <sheet name="Safety" sheetId="5" state="hidden" r:id="rId13"/>
    <sheet name="Part Values" sheetId="21" state="hidden" r:id="rId14"/>
    <sheet name="Master Sheet" sheetId="28" state="hidden" r:id="rId15"/>
    <sheet name="Incident Category" sheetId="32" state="hidden" r:id="rId16"/>
  </sheets>
  <externalReferences>
    <externalReference r:id="rId17"/>
    <externalReference r:id="rId18"/>
  </externalReferences>
  <definedNames>
    <definedName name="_xlnm._FilterDatabase" localSheetId="10" hidden="1">'SAFETY DATA'!$A$1:$M$58</definedName>
    <definedName name="_xlcn.WorksheetConnection_LGMScrapRepMay24WIP.xlsxTable21" hidden="1">Table2</definedName>
    <definedName name="_xlnm.Print_Area" localSheetId="0">DASHBOARD!$A$1:$L$168</definedName>
    <definedName name="_xlnm.Print_Area" localSheetId="12">Safety!$A$1:$N$52</definedName>
  </definedNames>
  <calcPr calcId="191029"/>
  <pivotCaches>
    <pivotCache cacheId="17" r:id="rId19"/>
    <pivotCache cacheId="22" r:id="rId20"/>
    <pivotCache cacheId="29" r:id="rId21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LGM  Scrap Rep May 24 WIP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8" i="14" l="1"/>
  <c r="V8" i="14" s="1"/>
  <c r="T9" i="14"/>
  <c r="V9" i="14" s="1"/>
  <c r="T10" i="14"/>
  <c r="V10" i="14" s="1"/>
  <c r="T11" i="14"/>
  <c r="V11" i="14" s="1"/>
  <c r="T12" i="14"/>
  <c r="V12" i="14" s="1"/>
  <c r="T13" i="14"/>
  <c r="V13" i="14" s="1"/>
  <c r="T14" i="14"/>
  <c r="V14" i="14" s="1"/>
  <c r="T15" i="14"/>
  <c r="V15" i="14" s="1"/>
  <c r="T16" i="14"/>
  <c r="V16" i="14" s="1"/>
  <c r="T17" i="14"/>
  <c r="V17" i="14" s="1"/>
  <c r="B18" i="17" s="1"/>
  <c r="T18" i="14"/>
  <c r="V18" i="14" s="1"/>
  <c r="T19" i="14"/>
  <c r="V19" i="14" s="1"/>
  <c r="T5" i="14"/>
  <c r="V5" i="14" s="1"/>
  <c r="T6" i="14"/>
  <c r="V6" i="14" s="1"/>
  <c r="T7" i="14"/>
  <c r="V7" i="14" s="1"/>
  <c r="T4" i="14" l="1"/>
  <c r="V4" i="14" s="1"/>
  <c r="G27" i="17"/>
  <c r="O15" i="14" l="1"/>
  <c r="T3" i="14"/>
  <c r="V3" i="14" s="1"/>
  <c r="A4" i="17"/>
  <c r="T2" i="14"/>
  <c r="V2" i="14" s="1"/>
  <c r="K27" i="17" l="1"/>
  <c r="E10" i="5"/>
  <c r="N83" i="5"/>
  <c r="N80" i="5"/>
  <c r="N82" i="5"/>
  <c r="F4" i="5"/>
  <c r="E4" i="5"/>
  <c r="F7" i="5"/>
  <c r="E7" i="5"/>
  <c r="A18" i="17" l="1"/>
  <c r="F10" i="5"/>
  <c r="D10" i="5"/>
  <c r="N79" i="5"/>
  <c r="N78" i="5"/>
  <c r="N76" i="5"/>
  <c r="N75" i="5"/>
  <c r="N74" i="5"/>
  <c r="N72" i="5"/>
  <c r="N71" i="5"/>
  <c r="N70" i="5"/>
  <c r="N68" i="5"/>
  <c r="N67" i="5"/>
  <c r="N66" i="5"/>
  <c r="N64" i="5"/>
  <c r="N63" i="5"/>
  <c r="N62" i="5"/>
  <c r="N60" i="5"/>
  <c r="N59" i="5"/>
  <c r="N58" i="5"/>
  <c r="N56" i="5"/>
  <c r="N52" i="5"/>
  <c r="N51" i="5"/>
  <c r="N50" i="5"/>
  <c r="N48" i="5"/>
  <c r="N47" i="5"/>
  <c r="N46" i="5"/>
  <c r="N44" i="5"/>
  <c r="N43" i="5"/>
  <c r="N42" i="5"/>
  <c r="N40" i="5"/>
  <c r="N39" i="5"/>
  <c r="N38" i="5"/>
  <c r="N36" i="5"/>
  <c r="N34" i="5"/>
  <c r="N33" i="5"/>
  <c r="N31" i="5"/>
  <c r="N30" i="5"/>
  <c r="N29" i="5"/>
  <c r="N27" i="5"/>
  <c r="D11" i="5"/>
  <c r="C1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B621E4-5960-4694-8F36-D9AD2FD948FE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6DCCABF-ECF6-40D4-B272-4DC9C0B84520}" name="WorksheetConnection_LGM  Scrap Rep May 24 WIP.xlsx!Table2" type="102" refreshedVersion="7" minRefreshableVersion="5" background="1" saveData="1">
    <extLst>
      <ext xmlns:x15="http://schemas.microsoft.com/office/spreadsheetml/2010/11/main" uri="{DE250136-89BD-433C-8126-D09CA5730AF9}">
        <x15:connection id="Table2">
          <x15:rangePr sourceName="_xlcn.WorksheetConnection_LGMScrapRepMay24WIP.xlsxTable21"/>
        </x15:connection>
      </ext>
    </extLst>
  </connection>
</connections>
</file>

<file path=xl/sharedStrings.xml><?xml version="1.0" encoding="utf-8"?>
<sst xmlns="http://schemas.openxmlformats.org/spreadsheetml/2006/main" count="868" uniqueCount="434">
  <si>
    <t xml:space="preserve">                                                      Comments</t>
  </si>
  <si>
    <t>YTD Breakdown of IOD's</t>
  </si>
  <si>
    <t>Jan</t>
  </si>
  <si>
    <t>Apl</t>
  </si>
  <si>
    <t>2010-2011</t>
  </si>
  <si>
    <t>Reason</t>
  </si>
  <si>
    <t>HAND</t>
  </si>
  <si>
    <t>ELBOW</t>
  </si>
  <si>
    <t>BACK</t>
  </si>
  <si>
    <t>FOOT</t>
  </si>
  <si>
    <t>MTD Hours</t>
  </si>
  <si>
    <t>MTD Cost</t>
  </si>
  <si>
    <t>2011-2012</t>
  </si>
  <si>
    <t>EYE/HAND</t>
  </si>
  <si>
    <t>HANDS</t>
  </si>
  <si>
    <t>KNEE</t>
  </si>
  <si>
    <t>5. SAFETY</t>
  </si>
  <si>
    <t>5.1 IOD'S</t>
  </si>
  <si>
    <t>ADMIN</t>
  </si>
  <si>
    <t>COST CODE</t>
  </si>
  <si>
    <t>I.O.D.HRS</t>
  </si>
  <si>
    <t>I.O.D.
RAND COST</t>
  </si>
  <si>
    <t>I.O.D.
HRS Y.T.D.</t>
  </si>
  <si>
    <t>I.O.D. 
RAND COST Y.T.D.</t>
  </si>
  <si>
    <t xml:space="preserve">QUALITY </t>
  </si>
  <si>
    <t>MAINTENANCE</t>
  </si>
  <si>
    <t>WAREHOUSE</t>
  </si>
  <si>
    <t>July 011 to June 2012</t>
  </si>
  <si>
    <t>Sep</t>
  </si>
  <si>
    <t>July</t>
  </si>
  <si>
    <t>DEPARTMENT</t>
  </si>
  <si>
    <t>TOTAL</t>
  </si>
  <si>
    <t>Feb</t>
  </si>
  <si>
    <t>Mar</t>
  </si>
  <si>
    <t>May</t>
  </si>
  <si>
    <t>June</t>
  </si>
  <si>
    <t>Aug</t>
  </si>
  <si>
    <t>Oct</t>
  </si>
  <si>
    <t>Nov</t>
  </si>
  <si>
    <t>Dec</t>
  </si>
  <si>
    <t xml:space="preserve"> </t>
  </si>
  <si>
    <t>HAMMERS</t>
  </si>
  <si>
    <t>IRON TOOLS</t>
  </si>
  <si>
    <t>QTY</t>
  </si>
  <si>
    <t>CRACK</t>
  </si>
  <si>
    <t>PROD DESCRIPTION</t>
  </si>
  <si>
    <t>H.T.</t>
  </si>
  <si>
    <t>EYE</t>
  </si>
  <si>
    <t>2EYE/HAND</t>
  </si>
  <si>
    <t>July 013 to June 2014</t>
  </si>
  <si>
    <t>July 012 to June 2013</t>
  </si>
  <si>
    <t>FOOT/KNEE</t>
  </si>
  <si>
    <t>FINGER</t>
  </si>
  <si>
    <t>NECK</t>
  </si>
  <si>
    <t>LEG</t>
  </si>
  <si>
    <t>2013-2014</t>
  </si>
  <si>
    <t>FOREHEAD</t>
  </si>
  <si>
    <t>Back</t>
  </si>
  <si>
    <t>July 014 to June 2015</t>
  </si>
  <si>
    <t>2012-2013</t>
  </si>
  <si>
    <t>2014-2015</t>
  </si>
  <si>
    <t>ARM</t>
  </si>
  <si>
    <t>July 010 to June 2011</t>
  </si>
  <si>
    <t>EYE/LEG</t>
  </si>
  <si>
    <t>July 015 to June 2016</t>
  </si>
  <si>
    <t>YTD TOTALS</t>
  </si>
  <si>
    <t>EYE/ HAND</t>
  </si>
  <si>
    <t>2015 - 2016</t>
  </si>
  <si>
    <t>2016 - 2017</t>
  </si>
  <si>
    <t>2017 - 2018</t>
  </si>
  <si>
    <t>July 018 to June 2019</t>
  </si>
  <si>
    <t>July 017 to June 2018</t>
  </si>
  <si>
    <t>July 016 to June 2017</t>
  </si>
  <si>
    <t>2018 - 2019</t>
  </si>
  <si>
    <t>back/leg</t>
  </si>
  <si>
    <t>eye</t>
  </si>
  <si>
    <t>OTHER</t>
  </si>
  <si>
    <t>Rib</t>
  </si>
  <si>
    <t>rib/back</t>
  </si>
  <si>
    <t>July 019 to June 2020</t>
  </si>
  <si>
    <t>2019 - 2020</t>
  </si>
  <si>
    <t>Knife Double Edge Slasher</t>
  </si>
  <si>
    <t>Rake Combination</t>
  </si>
  <si>
    <t>Chisel Flat Cold 25x350</t>
  </si>
  <si>
    <t>Bar Tommy 20x600mm</t>
  </si>
  <si>
    <t>Bar Wrecking 20x450mm</t>
  </si>
  <si>
    <t>Bar Wrecking 20x600mm</t>
  </si>
  <si>
    <t>Bar Wrecking 20x750mm</t>
  </si>
  <si>
    <t>Bar Wrecking 20x900mm</t>
  </si>
  <si>
    <t>July 020 to June 2021</t>
  </si>
  <si>
    <t>2020 - 2021</t>
  </si>
  <si>
    <t>Back/Finger</t>
  </si>
  <si>
    <t>July 021 to June 2022</t>
  </si>
  <si>
    <t>2021 - 2022</t>
  </si>
  <si>
    <t>FEET</t>
  </si>
  <si>
    <t>Ham Sledge 1.8kg RW Wood</t>
  </si>
  <si>
    <t>Ham Sledge 3.6kg RW Wood</t>
  </si>
  <si>
    <t>Ham Sledge 4.5kg RW Wood</t>
  </si>
  <si>
    <t>Ham Sledge 6.3kg RW Wood</t>
  </si>
  <si>
    <t>Ham Boiler Scaling 500g</t>
  </si>
  <si>
    <t>Ham Jointer 225g Wood</t>
  </si>
  <si>
    <t>Ham Claw 500g Poly</t>
  </si>
  <si>
    <t>Ham Claw 500g RW Wood</t>
  </si>
  <si>
    <t>Ham Claw 600g RW Wood</t>
  </si>
  <si>
    <t>Ham Claw 600g S/C Poly Handle</t>
  </si>
  <si>
    <t>Ham Claw 700g RW Wood</t>
  </si>
  <si>
    <t>Ham Claw 700g S/C Poly Handle</t>
  </si>
  <si>
    <t>Ham BP 100g RW Wood</t>
  </si>
  <si>
    <t>Ham BP 200g RW Wood</t>
  </si>
  <si>
    <t>Ham BP 300g RW Wood</t>
  </si>
  <si>
    <t>Ham BP 300g N/C Soft Grip</t>
  </si>
  <si>
    <t>Ham BP 500g Rw Wood</t>
  </si>
  <si>
    <t>Ham BP 500g N/C Soft Grip</t>
  </si>
  <si>
    <t>Ham BP 700g RW Wood</t>
  </si>
  <si>
    <t>Ham BP 700g N/C Soft Grip</t>
  </si>
  <si>
    <t>Ham BP 900g RW Wood</t>
  </si>
  <si>
    <t>Ham BP 900g N/C Soft Grip</t>
  </si>
  <si>
    <t>Ham BP 1100g RW Wood</t>
  </si>
  <si>
    <t>Ham BP 1100 N/C Soft Grip</t>
  </si>
  <si>
    <t>Ham Club 1.1kg Wood</t>
  </si>
  <si>
    <t>Ham Club 1.1kg S/C Soft Grip</t>
  </si>
  <si>
    <t>Ham Club 1.8kg Wood</t>
  </si>
  <si>
    <t>Ham Club 1.8kg S/C Soft Grip</t>
  </si>
  <si>
    <t>Ham Brick Chisel Wood</t>
  </si>
  <si>
    <t>Ham Scutch Wood</t>
  </si>
  <si>
    <t>Ham Scutch S/C Soft Grip</t>
  </si>
  <si>
    <t>Ham Din 500g Wood</t>
  </si>
  <si>
    <t>Ham Drill 1.8kg CCL Heads</t>
  </si>
  <si>
    <t>Ham Sledge 3.6kg CCL Heads</t>
  </si>
  <si>
    <t>Ham Sledge 10lb CCL Heads</t>
  </si>
  <si>
    <t>Ham Club 2.5lb CCL Heads</t>
  </si>
  <si>
    <t>Ham Club 1.8kg CCL Heads</t>
  </si>
  <si>
    <t>Ham Drill 1.8kg P/Handle Black</t>
  </si>
  <si>
    <t>Ham Sledge 1.8kg .S/C Soft Grip</t>
  </si>
  <si>
    <t>Ham Sledge 3.6kg S/C Soft Grip</t>
  </si>
  <si>
    <t>Ham Sledge 4.5kg  S/C Soft Grip</t>
  </si>
  <si>
    <t>Ham Sledge 6.3kg S/C Soft Grip</t>
  </si>
  <si>
    <t>Ham Sledge 3.6kg P/Handle Black CCL</t>
  </si>
  <si>
    <t>Ham Sledge 4.5kg P/Handle Black CCL</t>
  </si>
  <si>
    <t>Ham Sledge 6.3kg P/Handle Black CCL</t>
  </si>
  <si>
    <t>Ham log Splitter 2.5kg S/C 800</t>
  </si>
  <si>
    <t>Ham Sledge 1.4kg Copper</t>
  </si>
  <si>
    <t>Ham Sledge 1.8kg Copper</t>
  </si>
  <si>
    <t>Ham Sledge 3.6kg Copper</t>
  </si>
  <si>
    <t>Ham Sledge 6.3kg Copper</t>
  </si>
  <si>
    <t>Combo Ham Club 1.1 &amp; Elec Bolster</t>
  </si>
  <si>
    <t>Combo Ham Club 1.8 &amp; Brick Bolster</t>
  </si>
  <si>
    <t>Axe 0.9kg P/Handle yellow</t>
  </si>
  <si>
    <t>Axe 1.8kg P/Handle yellow</t>
  </si>
  <si>
    <t>Combo Rake &amp; Broom</t>
  </si>
  <si>
    <t>Hammer Chipping</t>
  </si>
  <si>
    <t>HDL  Drill 1.8 kg CB Poly Black</t>
  </si>
  <si>
    <t xml:space="preserve">HDLSledge  3.6kg  Poly   Black </t>
  </si>
  <si>
    <t xml:space="preserve">HDLSledge  6.3kg  Poly   Black </t>
  </si>
  <si>
    <t>HDL BP  700/1100g Poly  N/C Yellow</t>
  </si>
  <si>
    <t xml:space="preserve">HDL Scutch  Poly S/C Soft Grip </t>
  </si>
  <si>
    <t xml:space="preserve">HDL Axe 900g Poly N/C Yellow </t>
  </si>
  <si>
    <t>HDL Axe 1.8kg Poly S/C Yellow</t>
  </si>
  <si>
    <t>HDL Claw  Poly S/C Soft Grip</t>
  </si>
  <si>
    <t>HDL BP 300g Poly N/C Soft Grip</t>
  </si>
  <si>
    <t>HDL BP 500g Poly N/C Soft Grip</t>
  </si>
  <si>
    <t>HDL BP  700/1100g Poly  N/C  Soft Grip</t>
  </si>
  <si>
    <t xml:space="preserve">HDL  Club 1.1kg Poly S/C Soft Grip  </t>
  </si>
  <si>
    <t xml:space="preserve">HDL  Club 1.8kg Poly S/C Soft Grip  </t>
  </si>
  <si>
    <t>HDL Sledge 1.8kg 400 Poly Soft Grip Falcon</t>
  </si>
  <si>
    <t>Hdl Sledge 6.3kg 800 Poly Soft Grip</t>
  </si>
  <si>
    <t>Hdl Sledge 3.6kg 600 Poly Soft Grip</t>
  </si>
  <si>
    <t>Hdl Claw Wood 345mm</t>
  </si>
  <si>
    <t>Hdl BP Wood 280mm</t>
  </si>
  <si>
    <t>Hdl BP Wood 300mm</t>
  </si>
  <si>
    <t>Hdl BP Wood 330mm</t>
  </si>
  <si>
    <t>Hdl BP Wood 350mm</t>
  </si>
  <si>
    <t>Hdl BP Wood 380mm</t>
  </si>
  <si>
    <t>Hdl BP Wood 400mm</t>
  </si>
  <si>
    <t>Hdl BP Wood 425mm</t>
  </si>
  <si>
    <t>Hdl Sledge Wood 600mm</t>
  </si>
  <si>
    <t>Hdl Sledge Wood 750mm</t>
  </si>
  <si>
    <t>Hdl Sledge Wood 900mm</t>
  </si>
  <si>
    <t>Hdl Joiner Wood 280mm</t>
  </si>
  <si>
    <t>Hdl Fitter Wood 320mm</t>
  </si>
  <si>
    <t>Hdl Boiler Scaling Wood 300mm</t>
  </si>
  <si>
    <t>Hdl Broom Steel Plastic</t>
  </si>
  <si>
    <t>Hdl Rake Steel Plastic</t>
  </si>
  <si>
    <t>Hd Broom 300mm Brite / Fitting</t>
  </si>
  <si>
    <t xml:space="preserve">Hd Slasher </t>
  </si>
  <si>
    <t>Ham Spalling 6.3kg P/Handle Black CCL</t>
  </si>
  <si>
    <t>Hdl Brick/Scutch 800g Wood</t>
  </si>
  <si>
    <t xml:space="preserve">Ham Sledge 3.2kg </t>
  </si>
  <si>
    <t>Hdl 1.1 Club Wood 250mm</t>
  </si>
  <si>
    <t>Hdl 1.8 Club Wood 280mm</t>
  </si>
  <si>
    <t>Year</t>
  </si>
  <si>
    <t>Chisel Flat Cold 12x200</t>
  </si>
  <si>
    <t>Chisel Cross Cut 6x12x150</t>
  </si>
  <si>
    <t>Bar Wrecking 20x300mm</t>
  </si>
  <si>
    <t>2022 - 2023</t>
  </si>
  <si>
    <t>U/FILL</t>
  </si>
  <si>
    <t>Bolster 100mm</t>
  </si>
  <si>
    <t>Bolster 100mm PVC Grip</t>
  </si>
  <si>
    <t xml:space="preserve">Bolst  Electrician 55mm </t>
  </si>
  <si>
    <t>Chisel Cross Cut 10x20x200</t>
  </si>
  <si>
    <t>Chisel Diamond Point 6x12x150</t>
  </si>
  <si>
    <t>Chisel Diamond Point 10x20x200</t>
  </si>
  <si>
    <t>Chisel Round Nose 6x12x150</t>
  </si>
  <si>
    <t>Chisel Round Nose 10x20x200</t>
  </si>
  <si>
    <t>Chisel Flat Cold 12x150</t>
  </si>
  <si>
    <t>Chisel Flat Cold 16x175</t>
  </si>
  <si>
    <t>Chisel Flat Cold 16x300</t>
  </si>
  <si>
    <t>Chisel Flat Cold 20x200</t>
  </si>
  <si>
    <t>Chisel Flat Cold 22x225</t>
  </si>
  <si>
    <t>Chisel Flat Cold 20x250</t>
  </si>
  <si>
    <t>Chisel Flat Cold 25x250</t>
  </si>
  <si>
    <t>Chisel Flat Cold 25x300</t>
  </si>
  <si>
    <t>Chisel Concrete 25x300</t>
  </si>
  <si>
    <t>Bar Crow 25x1200</t>
  </si>
  <si>
    <t>Bar Crow 25x1500</t>
  </si>
  <si>
    <t>Bar Crow 25x1800</t>
  </si>
  <si>
    <t>Bar Crow 32x1800</t>
  </si>
  <si>
    <t>Knife Hacking PVC Grip</t>
  </si>
  <si>
    <t>Stamper Round 160mm Dia</t>
  </si>
  <si>
    <t>Stamper Sq. 150mm</t>
  </si>
  <si>
    <t>Bar Tommy 20x450mm</t>
  </si>
  <si>
    <t>Ham Sledge 6.3kg RW Heads</t>
  </si>
  <si>
    <t>Ham Sledge 1.8kg HD</t>
  </si>
  <si>
    <t>Combo Scutch + Brick Combs</t>
  </si>
  <si>
    <t>July 023 to June 2024</t>
  </si>
  <si>
    <t>July 022 to June 2023</t>
  </si>
  <si>
    <t>2023 - 2024</t>
  </si>
  <si>
    <t>Finger</t>
  </si>
  <si>
    <t xml:space="preserve">Digging Bars </t>
  </si>
  <si>
    <t>Head</t>
  </si>
  <si>
    <r>
      <rPr>
        <sz val="9"/>
        <rFont val="Arial Nova"/>
        <family val="2"/>
      </rPr>
      <t>Axe 0.9kg</t>
    </r>
    <r>
      <rPr>
        <b/>
        <sz val="9"/>
        <rFont val="Arial Nova"/>
        <family val="2"/>
      </rPr>
      <t xml:space="preserve"> Composite</t>
    </r>
  </si>
  <si>
    <t>Hand</t>
  </si>
  <si>
    <t>A.Lamprecht recover with hand injury.</t>
  </si>
  <si>
    <t>Eyes/leg</t>
  </si>
  <si>
    <t>3. Monthly Risk inspection was done.</t>
  </si>
  <si>
    <t>1. One IOD's   reported during  May 2024.</t>
  </si>
  <si>
    <t>T.Khanyile injured foot, busy with physio</t>
  </si>
  <si>
    <t>Foot/hand</t>
  </si>
  <si>
    <t>2. Fumigation was done by Eco hygiene.</t>
  </si>
  <si>
    <t>Lost Time Injuries</t>
  </si>
  <si>
    <t>HEAD/FACE/CHIN</t>
  </si>
  <si>
    <t>EYES</t>
  </si>
  <si>
    <t>BODY/BACK</t>
  </si>
  <si>
    <t>ARMS</t>
  </si>
  <si>
    <t>FINGERS</t>
  </si>
  <si>
    <t>LEGS/KNEE</t>
  </si>
  <si>
    <t>FEET/ANKLE</t>
  </si>
  <si>
    <t>MULTIPLE</t>
  </si>
  <si>
    <t>Incident/Accident Information Board</t>
  </si>
  <si>
    <t xml:space="preserve">EYES </t>
  </si>
  <si>
    <t xml:space="preserve">FEET /ANKLE </t>
  </si>
  <si>
    <t>Non-Lost Time Injuries</t>
  </si>
  <si>
    <t>Incident Catergory</t>
  </si>
  <si>
    <t>Near Miss</t>
  </si>
  <si>
    <t>Environmental</t>
  </si>
  <si>
    <t>Property/Product</t>
  </si>
  <si>
    <t>Fire</t>
  </si>
  <si>
    <t>Permanent disability</t>
  </si>
  <si>
    <t>Faitality</t>
  </si>
  <si>
    <t>Miscaleanous</t>
  </si>
  <si>
    <t>Theft</t>
  </si>
  <si>
    <t>Body Part Injured</t>
  </si>
  <si>
    <t>Face</t>
  </si>
  <si>
    <t xml:space="preserve">Eyes </t>
  </si>
  <si>
    <t>Ears</t>
  </si>
  <si>
    <t>Mouth</t>
  </si>
  <si>
    <t>Chin</t>
  </si>
  <si>
    <t>Shoulders</t>
  </si>
  <si>
    <t>Stomach</t>
  </si>
  <si>
    <t>Chest/Ribs</t>
  </si>
  <si>
    <t>Arm</t>
  </si>
  <si>
    <t>Elbow</t>
  </si>
  <si>
    <t>Hip</t>
  </si>
  <si>
    <t>Private part</t>
  </si>
  <si>
    <t>Pelvis</t>
  </si>
  <si>
    <t>foot</t>
  </si>
  <si>
    <t>knee</t>
  </si>
  <si>
    <t>leg</t>
  </si>
  <si>
    <t>ankle</t>
  </si>
  <si>
    <t>Inhalation</t>
  </si>
  <si>
    <t>fatal</t>
  </si>
  <si>
    <t>Department</t>
  </si>
  <si>
    <t>Warehouse</t>
  </si>
  <si>
    <t>Production</t>
  </si>
  <si>
    <t>Stores</t>
  </si>
  <si>
    <t>Office</t>
  </si>
  <si>
    <t>Month</t>
  </si>
  <si>
    <t>Total</t>
  </si>
  <si>
    <t>Age</t>
  </si>
  <si>
    <t>19-25</t>
  </si>
  <si>
    <t>26-30</t>
  </si>
  <si>
    <t>31-35</t>
  </si>
  <si>
    <t>Eyes</t>
  </si>
  <si>
    <t>Row Labels</t>
  </si>
  <si>
    <t>Grand Total</t>
  </si>
  <si>
    <t>Sum of Total</t>
  </si>
  <si>
    <t>Apr</t>
  </si>
  <si>
    <t>Foot</t>
  </si>
  <si>
    <t>Type of injury</t>
  </si>
  <si>
    <t>Type of Injury</t>
  </si>
  <si>
    <t>STOCK CODE</t>
  </si>
  <si>
    <t>SCRAP TYPE</t>
  </si>
  <si>
    <t>SCRAP QUANTITY</t>
  </si>
  <si>
    <t>QTY PRODUCED</t>
  </si>
  <si>
    <t>PRODUCT TYPE</t>
  </si>
  <si>
    <t>BROKEN</t>
  </si>
  <si>
    <t>Value</t>
  </si>
  <si>
    <t>Part Description</t>
  </si>
  <si>
    <t>CLAWEND SHORT</t>
  </si>
  <si>
    <t>CRACKSF/fault</t>
  </si>
  <si>
    <t>BENT/ OFFSET</t>
  </si>
  <si>
    <t>DAM.EYE</t>
  </si>
  <si>
    <t>W/BDAM.</t>
  </si>
  <si>
    <t>BAD FORGING</t>
  </si>
  <si>
    <t>Daily Performance Tracking</t>
  </si>
  <si>
    <t>BADSCAL</t>
  </si>
  <si>
    <t>UNDRER FILL</t>
  </si>
  <si>
    <t>CRACKBOX</t>
  </si>
  <si>
    <t>WRONG STAMP</t>
  </si>
  <si>
    <t>BAD GRI/POL</t>
  </si>
  <si>
    <t>COIL DAMAGE</t>
  </si>
  <si>
    <t>TEST SAMPLES</t>
  </si>
  <si>
    <t>Scrap Type Legend</t>
  </si>
  <si>
    <t>MOULDING PROBLEM</t>
  </si>
  <si>
    <t>CARCKS HEAT TREATMENT</t>
  </si>
  <si>
    <t>FRGLAPS</t>
  </si>
  <si>
    <t>BENTSCLD</t>
  </si>
  <si>
    <t>BKNTIP</t>
  </si>
  <si>
    <t>MATCRKS</t>
  </si>
  <si>
    <t>SC1</t>
  </si>
  <si>
    <t>SC2</t>
  </si>
  <si>
    <t>SC3</t>
  </si>
  <si>
    <t>SC4</t>
  </si>
  <si>
    <t>SC5</t>
  </si>
  <si>
    <t>SC6</t>
  </si>
  <si>
    <t>SC7</t>
  </si>
  <si>
    <t>SC8</t>
  </si>
  <si>
    <t>SC9</t>
  </si>
  <si>
    <t>SC10</t>
  </si>
  <si>
    <t>SC11</t>
  </si>
  <si>
    <t>SC12</t>
  </si>
  <si>
    <t>SC13</t>
  </si>
  <si>
    <t>SC14</t>
  </si>
  <si>
    <t>SC15</t>
  </si>
  <si>
    <t>SC16</t>
  </si>
  <si>
    <t>SC17</t>
  </si>
  <si>
    <t>SC18</t>
  </si>
  <si>
    <t>SC19</t>
  </si>
  <si>
    <t>SC20</t>
  </si>
  <si>
    <t>SC21</t>
  </si>
  <si>
    <t>SC22</t>
  </si>
  <si>
    <t>SC23</t>
  </si>
  <si>
    <t>SC24</t>
  </si>
  <si>
    <t>SC25</t>
  </si>
  <si>
    <t>Date</t>
  </si>
  <si>
    <t>SCRAP CODE</t>
  </si>
  <si>
    <t>Doc:</t>
  </si>
  <si>
    <t>Rev:</t>
  </si>
  <si>
    <t>Only for Tracking purpose</t>
  </si>
  <si>
    <t>Inspector Name:</t>
  </si>
  <si>
    <t>Month:</t>
  </si>
  <si>
    <t>Jun</t>
  </si>
  <si>
    <t>Jul</t>
  </si>
  <si>
    <t>First Aid</t>
  </si>
  <si>
    <t>Day</t>
  </si>
  <si>
    <t>Name</t>
  </si>
  <si>
    <t>N Majola</t>
  </si>
  <si>
    <t>LTI</t>
  </si>
  <si>
    <t>(Multiple Items)</t>
  </si>
  <si>
    <t>Iron Tools</t>
  </si>
  <si>
    <t xml:space="preserve">Department Involved </t>
  </si>
  <si>
    <t>NEXT AUDIT DATE</t>
  </si>
  <si>
    <t>Date of Last LTI</t>
  </si>
  <si>
    <t>LTIFR</t>
  </si>
  <si>
    <t>M Khanyile</t>
  </si>
  <si>
    <t>A Lamprecht</t>
  </si>
  <si>
    <t>S Baloyi</t>
  </si>
  <si>
    <t>T Khanyile</t>
  </si>
  <si>
    <t>19/01/2024.</t>
  </si>
  <si>
    <t>K Khoza</t>
  </si>
  <si>
    <t>Description of Injury</t>
  </si>
  <si>
    <t>While polishing hammers, the head slipped and he injured his left thum nail</t>
  </si>
  <si>
    <t>Crowbar fell onto head.</t>
  </si>
  <si>
    <t>Foreign object went into eye while grinding</t>
  </si>
  <si>
    <t>Twisted ankle while getting off forklift</t>
  </si>
  <si>
    <t>S Ndlovu</t>
  </si>
  <si>
    <t>Cut finger while trying to cut string</t>
  </si>
  <si>
    <t>Bumped hand against bin injuring finger.</t>
  </si>
  <si>
    <t>Column Labels</t>
  </si>
  <si>
    <t>Machine Part fell onto finger making a cut.</t>
  </si>
  <si>
    <t>CUSTOMER RETURN STATS</t>
  </si>
  <si>
    <t>Day of Week</t>
  </si>
  <si>
    <t>THURSDAY</t>
  </si>
  <si>
    <t>FRIDAY</t>
  </si>
  <si>
    <t>WEDNESDAY</t>
  </si>
  <si>
    <t>TUESDAY</t>
  </si>
  <si>
    <t>MONDAY</t>
  </si>
  <si>
    <t>Total no Of employees</t>
  </si>
  <si>
    <t>hrs per week</t>
  </si>
  <si>
    <t>no of weeks</t>
  </si>
  <si>
    <t>no of LTI</t>
  </si>
  <si>
    <t>total hours worked TD</t>
  </si>
  <si>
    <t>Work Days since last LTI</t>
  </si>
  <si>
    <t>QUALITY MONTHLY STATS</t>
  </si>
  <si>
    <t>SHE WA AUDIT STATS</t>
  </si>
  <si>
    <t>LTIF</t>
  </si>
  <si>
    <t>August</t>
  </si>
  <si>
    <t>September</t>
  </si>
  <si>
    <t>October</t>
  </si>
  <si>
    <t>November</t>
  </si>
  <si>
    <t>December</t>
  </si>
  <si>
    <t>T Mpongose</t>
  </si>
  <si>
    <t>Cut middle finger while drilling double head slashers</t>
  </si>
  <si>
    <t>Time lost(hours)</t>
  </si>
  <si>
    <t>T Motaung</t>
  </si>
  <si>
    <t>Cut finger while putting on rubber protection on the 1.8kg axe.</t>
  </si>
  <si>
    <t>Sum of Time lost(hours)</t>
  </si>
  <si>
    <t xml:space="preserve">YTD QUALITY STATS </t>
  </si>
  <si>
    <t xml:space="preserve">YTD QUALITY TOP 5 
</t>
  </si>
  <si>
    <t>Previous Record</t>
  </si>
  <si>
    <t>RAKES</t>
  </si>
  <si>
    <t>YTD ALCOHOL TESTING STATS</t>
  </si>
  <si>
    <t xml:space="preserve">       SHE MONTHLY STATS</t>
  </si>
  <si>
    <t xml:space="preserve">Incident/Accident Information </t>
  </si>
  <si>
    <t xml:space="preserve">YTD Total no of LTIs </t>
  </si>
  <si>
    <t>Steel Yard</t>
  </si>
  <si>
    <t>T Masilo</t>
  </si>
  <si>
    <t>Club hammer fell on left pinky finger. Swelling of finger.</t>
  </si>
  <si>
    <t>Pallet fell on right leg above ankle</t>
  </si>
  <si>
    <t>A Mthembu</t>
  </si>
  <si>
    <t>Club Hammer fell on left finger, Swelling.</t>
  </si>
  <si>
    <t>Burnt finger while placing Axe trolley in oven.</t>
  </si>
  <si>
    <t xml:space="preserve">-Cut finger while trimming axes.
-Cut right index finger while putting on rubber protection on 1.8axe.
</t>
  </si>
  <si>
    <r>
      <rPr>
        <b/>
        <sz val="10"/>
        <rFont val="Arial MT"/>
      </rPr>
      <t xml:space="preserve"> </t>
    </r>
    <r>
      <rPr>
        <b/>
        <sz val="24"/>
        <rFont val="Arial MT"/>
      </rPr>
      <t>2025</t>
    </r>
    <r>
      <rPr>
        <b/>
        <sz val="10"/>
        <rFont val="Arial MT"/>
      </rPr>
      <t xml:space="preserve"> </t>
    </r>
    <r>
      <rPr>
        <b/>
        <sz val="28"/>
        <rFont val="Arial MT"/>
      </rPr>
      <t xml:space="preserve">
SHEQ PERFOMANCE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</si>
</sst>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&quot;#,##0.00_);[Red]\(&quot;R&quot;#,##0.00\)"/>
    <numFmt numFmtId="43" formatCode="_(* #,##0.00_);_(* \(#,##0.00\);_(* &quot;-&quot;??_);_(@_)"/>
    <numFmt numFmtId="164" formatCode="0.0"/>
    <numFmt numFmtId="165" formatCode="General;[Red]\-General"/>
    <numFmt numFmtId="166" formatCode="[$R-1C09]\ #,##0.00"/>
    <numFmt numFmtId="167" formatCode="&quot;R&quot;\ #,##0.00"/>
    <numFmt numFmtId="168" formatCode="0.000"/>
  </numFmts>
  <fonts count="29">
    <font>
      <sz val="10"/>
      <name val="Arial MT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name val="Arial MT"/>
    </font>
    <font>
      <b/>
      <sz val="8"/>
      <name val="Arial"/>
      <family val="2"/>
    </font>
    <font>
      <b/>
      <u/>
      <sz val="8"/>
      <name val="Arial"/>
      <family val="2"/>
    </font>
    <font>
      <sz val="8"/>
      <color rgb="FF000000"/>
      <name val="Arial"/>
      <family val="2"/>
    </font>
    <font>
      <b/>
      <sz val="9"/>
      <name val="Arial Nova"/>
      <family val="2"/>
    </font>
    <font>
      <sz val="9"/>
      <name val="Arial Nova"/>
      <family val="2"/>
    </font>
    <font>
      <sz val="11"/>
      <name val="Arial"/>
      <family val="2"/>
    </font>
    <font>
      <b/>
      <sz val="10"/>
      <name val="Arial MT"/>
    </font>
    <font>
      <b/>
      <sz val="12"/>
      <name val="Arial MT"/>
    </font>
    <font>
      <b/>
      <sz val="8"/>
      <name val="Arial MT"/>
    </font>
    <font>
      <b/>
      <sz val="11"/>
      <name val="Arial MT"/>
    </font>
    <font>
      <sz val="11"/>
      <name val="Arial MT"/>
    </font>
    <font>
      <b/>
      <sz val="12"/>
      <color theme="1"/>
      <name val="Arial MT"/>
    </font>
    <font>
      <b/>
      <sz val="12"/>
      <color theme="1"/>
      <name val="Arial Nova"/>
      <family val="2"/>
    </font>
    <font>
      <sz val="12"/>
      <name val="Arial MT"/>
    </font>
    <font>
      <sz val="72"/>
      <name val="Arial MT"/>
    </font>
    <font>
      <b/>
      <sz val="28"/>
      <name val="Arial MT"/>
    </font>
    <font>
      <b/>
      <sz val="20"/>
      <name val="Arial MT"/>
    </font>
    <font>
      <b/>
      <sz val="18"/>
      <name val="Arial MT"/>
    </font>
    <font>
      <b/>
      <sz val="36"/>
      <name val="Arial MT"/>
    </font>
    <font>
      <sz val="9"/>
      <name val="Arial MT"/>
    </font>
    <font>
      <b/>
      <sz val="16"/>
      <name val="Arial MT"/>
    </font>
    <font>
      <b/>
      <sz val="24"/>
      <name val="Arial MT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theme="2"/>
      </top>
      <bottom/>
      <diagonal/>
    </border>
    <border>
      <left/>
      <right style="thin">
        <color indexed="64"/>
      </right>
      <top/>
      <bottom style="thin">
        <color theme="2"/>
      </bottom>
      <diagonal/>
    </border>
    <border>
      <left style="thin">
        <color indexed="64"/>
      </left>
      <right/>
      <top/>
      <bottom style="thin">
        <color theme="2"/>
      </bottom>
      <diagonal/>
    </border>
  </borders>
  <cellStyleXfs count="5">
    <xf numFmtId="0" fontId="0" fillId="0" borderId="0" applyFont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1" fillId="0" borderId="0"/>
  </cellStyleXfs>
  <cellXfs count="28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17" fontId="7" fillId="0" borderId="0" xfId="0" applyNumberFormat="1" applyFont="1" applyAlignment="1">
      <alignment horizontal="center"/>
    </xf>
    <xf numFmtId="0" fontId="7" fillId="0" borderId="15" xfId="0" applyFont="1" applyBorder="1" applyAlignment="1">
      <alignment horizontal="center" wrapText="1"/>
    </xf>
    <xf numFmtId="0" fontId="7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17" fontId="7" fillId="0" borderId="6" xfId="0" applyNumberFormat="1" applyFont="1" applyBorder="1" applyAlignment="1">
      <alignment horizontal="left"/>
    </xf>
    <xf numFmtId="0" fontId="4" fillId="0" borderId="20" xfId="0" applyFont="1" applyBorder="1"/>
    <xf numFmtId="0" fontId="7" fillId="0" borderId="1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1" fontId="7" fillId="0" borderId="13" xfId="0" applyNumberFormat="1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1" fontId="4" fillId="0" borderId="22" xfId="0" applyNumberFormat="1" applyFont="1" applyBorder="1" applyAlignment="1">
      <alignment horizontal="center"/>
    </xf>
    <xf numFmtId="1" fontId="7" fillId="0" borderId="12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7" fillId="0" borderId="10" xfId="0" applyNumberFormat="1" applyFont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2" fontId="4" fillId="0" borderId="9" xfId="2" applyNumberFormat="1" applyFont="1" applyBorder="1" applyAlignment="1">
      <alignment horizontal="center"/>
    </xf>
    <xf numFmtId="2" fontId="7" fillId="0" borderId="13" xfId="0" applyNumberFormat="1" applyFont="1" applyBorder="1" applyAlignment="1">
      <alignment horizontal="center"/>
    </xf>
    <xf numFmtId="2" fontId="7" fillId="2" borderId="26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5" fillId="0" borderId="4" xfId="0" applyFont="1" applyBorder="1"/>
    <xf numFmtId="0" fontId="4" fillId="0" borderId="4" xfId="0" applyFont="1" applyBorder="1" applyAlignment="1">
      <alignment horizontal="center"/>
    </xf>
    <xf numFmtId="17" fontId="7" fillId="0" borderId="14" xfId="0" applyNumberFormat="1" applyFont="1" applyBorder="1" applyAlignment="1">
      <alignment horizontal="left"/>
    </xf>
    <xf numFmtId="17" fontId="7" fillId="0" borderId="5" xfId="0" applyNumberFormat="1" applyFont="1" applyBorder="1" applyAlignment="1">
      <alignment horizontal="left"/>
    </xf>
    <xf numFmtId="17" fontId="7" fillId="0" borderId="24" xfId="0" applyNumberFormat="1" applyFont="1" applyBorder="1" applyAlignment="1">
      <alignment horizontal="left"/>
    </xf>
    <xf numFmtId="17" fontId="7" fillId="0" borderId="3" xfId="0" applyNumberFormat="1" applyFont="1" applyBorder="1" applyAlignment="1">
      <alignment horizontal="left"/>
    </xf>
    <xf numFmtId="0" fontId="7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4" fillId="0" borderId="17" xfId="0" applyFont="1" applyBorder="1"/>
    <xf numFmtId="0" fontId="4" fillId="0" borderId="16" xfId="0" applyFont="1" applyBorder="1"/>
    <xf numFmtId="0" fontId="4" fillId="0" borderId="7" xfId="0" applyFont="1" applyBorder="1"/>
    <xf numFmtId="0" fontId="4" fillId="0" borderId="18" xfId="0" applyFont="1" applyBorder="1"/>
    <xf numFmtId="2" fontId="4" fillId="0" borderId="7" xfId="0" applyNumberFormat="1" applyFont="1" applyBorder="1"/>
    <xf numFmtId="0" fontId="3" fillId="0" borderId="0" xfId="0" applyFont="1" applyAlignment="1">
      <alignment horizontal="right" vertical="center" wrapText="1"/>
    </xf>
    <xf numFmtId="0" fontId="4" fillId="0" borderId="9" xfId="0" applyFont="1" applyBorder="1"/>
    <xf numFmtId="2" fontId="4" fillId="0" borderId="6" xfId="0" applyNumberFormat="1" applyFont="1" applyBorder="1"/>
    <xf numFmtId="2" fontId="4" fillId="0" borderId="9" xfId="0" applyNumberFormat="1" applyFont="1" applyBorder="1"/>
    <xf numFmtId="0" fontId="4" fillId="0" borderId="21" xfId="0" applyFont="1" applyBorder="1"/>
    <xf numFmtId="0" fontId="4" fillId="0" borderId="6" xfId="0" applyFont="1" applyBorder="1"/>
    <xf numFmtId="1" fontId="4" fillId="0" borderId="9" xfId="0" applyNumberFormat="1" applyFont="1" applyBorder="1"/>
    <xf numFmtId="17" fontId="7" fillId="0" borderId="0" xfId="0" applyNumberFormat="1" applyFont="1" applyAlignment="1">
      <alignment horizontal="left"/>
    </xf>
    <xf numFmtId="1" fontId="7" fillId="0" borderId="0" xfId="0" applyNumberFormat="1" applyFont="1"/>
    <xf numFmtId="2" fontId="7" fillId="0" borderId="0" xfId="0" applyNumberFormat="1" applyFont="1"/>
    <xf numFmtId="0" fontId="8" fillId="0" borderId="0" xfId="0" applyFont="1"/>
    <xf numFmtId="2" fontId="4" fillId="0" borderId="0" xfId="0" applyNumberFormat="1" applyFont="1" applyAlignment="1">
      <alignment horizontal="center"/>
    </xf>
    <xf numFmtId="2" fontId="4" fillId="0" borderId="0" xfId="2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8" fontId="6" fillId="0" borderId="0" xfId="0" applyNumberFormat="1" applyFont="1"/>
    <xf numFmtId="165" fontId="5" fillId="0" borderId="4" xfId="0" applyNumberFormat="1" applyFont="1" applyBorder="1" applyAlignment="1">
      <alignment horizontal="left"/>
    </xf>
    <xf numFmtId="0" fontId="7" fillId="0" borderId="22" xfId="0" applyFont="1" applyBorder="1" applyAlignment="1">
      <alignment horizontal="center" wrapText="1"/>
    </xf>
    <xf numFmtId="0" fontId="7" fillId="0" borderId="12" xfId="0" applyFont="1" applyBorder="1" applyAlignment="1">
      <alignment horizontal="center"/>
    </xf>
    <xf numFmtId="0" fontId="3" fillId="0" borderId="19" xfId="0" applyFont="1" applyBorder="1"/>
    <xf numFmtId="0" fontId="4" fillId="0" borderId="19" xfId="0" applyFont="1" applyBorder="1" applyAlignment="1">
      <alignment vertical="center"/>
    </xf>
    <xf numFmtId="0" fontId="4" fillId="0" borderId="19" xfId="0" applyFont="1" applyBorder="1"/>
    <xf numFmtId="0" fontId="4" fillId="0" borderId="8" xfId="0" applyFont="1" applyBorder="1"/>
    <xf numFmtId="167" fontId="5" fillId="0" borderId="4" xfId="0" applyNumberFormat="1" applyFont="1" applyBorder="1" applyAlignment="1">
      <alignment horizontal="center"/>
    </xf>
    <xf numFmtId="0" fontId="4" fillId="0" borderId="28" xfId="0" applyFont="1" applyBorder="1" applyAlignment="1">
      <alignment horizontal="left"/>
    </xf>
    <xf numFmtId="0" fontId="4" fillId="0" borderId="28" xfId="0" applyFont="1" applyBorder="1"/>
    <xf numFmtId="0" fontId="4" fillId="0" borderId="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left"/>
    </xf>
    <xf numFmtId="0" fontId="9" fillId="0" borderId="31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4" fillId="0" borderId="28" xfId="0" applyFont="1" applyBorder="1" applyAlignment="1">
      <alignment horizontal="right"/>
    </xf>
    <xf numFmtId="0" fontId="4" fillId="0" borderId="29" xfId="0" applyFont="1" applyBorder="1"/>
    <xf numFmtId="2" fontId="4" fillId="0" borderId="29" xfId="0" applyNumberFormat="1" applyFont="1" applyBorder="1"/>
    <xf numFmtId="2" fontId="4" fillId="0" borderId="0" xfId="0" applyNumberFormat="1" applyFont="1"/>
    <xf numFmtId="2" fontId="9" fillId="0" borderId="28" xfId="0" applyNumberFormat="1" applyFont="1" applyBorder="1" applyAlignment="1">
      <alignment horizontal="right" vertical="center"/>
    </xf>
    <xf numFmtId="2" fontId="4" fillId="0" borderId="28" xfId="0" applyNumberFormat="1" applyFont="1" applyBorder="1"/>
    <xf numFmtId="0" fontId="4" fillId="0" borderId="29" xfId="0" applyFont="1" applyBorder="1" applyAlignment="1">
      <alignment horizontal="left"/>
    </xf>
    <xf numFmtId="43" fontId="4" fillId="0" borderId="28" xfId="1" applyFont="1" applyBorder="1" applyAlignment="1">
      <alignment horizontal="right"/>
    </xf>
    <xf numFmtId="43" fontId="4" fillId="0" borderId="28" xfId="1" applyFont="1" applyBorder="1" applyAlignment="1"/>
    <xf numFmtId="43" fontId="4" fillId="0" borderId="0" xfId="1" applyFont="1" applyBorder="1" applyAlignment="1"/>
    <xf numFmtId="0" fontId="4" fillId="0" borderId="32" xfId="0" applyFont="1" applyBorder="1" applyAlignment="1">
      <alignment horizontal="left"/>
    </xf>
    <xf numFmtId="0" fontId="7" fillId="0" borderId="32" xfId="0" applyFont="1" applyBorder="1"/>
    <xf numFmtId="2" fontId="7" fillId="0" borderId="32" xfId="0" applyNumberFormat="1" applyFont="1" applyBorder="1"/>
    <xf numFmtId="0" fontId="4" fillId="0" borderId="32" xfId="0" applyFont="1" applyBorder="1"/>
    <xf numFmtId="2" fontId="4" fillId="0" borderId="32" xfId="0" applyNumberFormat="1" applyFont="1" applyBorder="1"/>
    <xf numFmtId="2" fontId="4" fillId="0" borderId="33" xfId="0" applyNumberFormat="1" applyFont="1" applyBorder="1"/>
    <xf numFmtId="0" fontId="4" fillId="0" borderId="33" xfId="0" applyFont="1" applyBorder="1"/>
    <xf numFmtId="0" fontId="4" fillId="0" borderId="1" xfId="0" applyFont="1" applyBorder="1"/>
    <xf numFmtId="2" fontId="4" fillId="0" borderId="1" xfId="0" applyNumberFormat="1" applyFont="1" applyBorder="1"/>
    <xf numFmtId="17" fontId="7" fillId="0" borderId="1" xfId="0" applyNumberFormat="1" applyFont="1" applyBorder="1" applyAlignment="1">
      <alignment horizontal="left"/>
    </xf>
    <xf numFmtId="1" fontId="4" fillId="0" borderId="32" xfId="0" applyNumberFormat="1" applyFont="1" applyBorder="1" applyAlignment="1">
      <alignment horizontal="center"/>
    </xf>
    <xf numFmtId="1" fontId="4" fillId="0" borderId="33" xfId="0" applyNumberFormat="1" applyFont="1" applyBorder="1" applyAlignment="1">
      <alignment horizontal="center"/>
    </xf>
    <xf numFmtId="1" fontId="7" fillId="0" borderId="32" xfId="0" applyNumberFormat="1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164" fontId="4" fillId="0" borderId="32" xfId="0" applyNumberFormat="1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2" fontId="4" fillId="0" borderId="32" xfId="0" applyNumberFormat="1" applyFont="1" applyBorder="1" applyAlignment="1">
      <alignment horizontal="center"/>
    </xf>
    <xf numFmtId="1" fontId="4" fillId="2" borderId="28" xfId="0" applyNumberFormat="1" applyFont="1" applyFill="1" applyBorder="1" applyAlignment="1">
      <alignment horizontal="center"/>
    </xf>
    <xf numFmtId="2" fontId="4" fillId="2" borderId="28" xfId="0" applyNumberFormat="1" applyFont="1" applyFill="1" applyBorder="1" applyAlignment="1">
      <alignment horizontal="center"/>
    </xf>
    <xf numFmtId="2" fontId="4" fillId="2" borderId="28" xfId="2" applyNumberFormat="1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165" fontId="11" fillId="0" borderId="4" xfId="0" applyNumberFormat="1" applyFont="1" applyBorder="1"/>
    <xf numFmtId="165" fontId="11" fillId="0" borderId="4" xfId="0" applyNumberFormat="1" applyFont="1" applyBorder="1" applyAlignment="1">
      <alignment horizontal="left"/>
    </xf>
    <xf numFmtId="166" fontId="11" fillId="0" borderId="4" xfId="0" applyNumberFormat="1" applyFont="1" applyBorder="1" applyAlignment="1">
      <alignment horizontal="left"/>
    </xf>
    <xf numFmtId="165" fontId="11" fillId="3" borderId="4" xfId="0" applyNumberFormat="1" applyFont="1" applyFill="1" applyBorder="1" applyAlignment="1">
      <alignment horizontal="left"/>
    </xf>
    <xf numFmtId="165" fontId="10" fillId="0" borderId="4" xfId="0" applyNumberFormat="1" applyFont="1" applyBorder="1" applyAlignment="1">
      <alignment horizontal="left"/>
    </xf>
    <xf numFmtId="0" fontId="7" fillId="0" borderId="34" xfId="0" applyFont="1" applyBorder="1" applyAlignment="1">
      <alignment horizontal="center"/>
    </xf>
    <xf numFmtId="2" fontId="4" fillId="0" borderId="34" xfId="0" applyNumberFormat="1" applyFont="1" applyBorder="1" applyAlignment="1">
      <alignment horizontal="center"/>
    </xf>
    <xf numFmtId="0" fontId="9" fillId="0" borderId="34" xfId="0" applyFont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/>
    </xf>
    <xf numFmtId="164" fontId="4" fillId="0" borderId="34" xfId="0" applyNumberFormat="1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0" fillId="0" borderId="4" xfId="0" applyBorder="1"/>
    <xf numFmtId="0" fontId="13" fillId="0" borderId="4" xfId="0" applyFont="1" applyBorder="1"/>
    <xf numFmtId="1" fontId="4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/>
    </xf>
    <xf numFmtId="165" fontId="5" fillId="0" borderId="4" xfId="0" applyNumberFormat="1" applyFont="1" applyBorder="1"/>
    <xf numFmtId="167" fontId="12" fillId="0" borderId="4" xfId="0" applyNumberFormat="1" applyFont="1" applyBorder="1"/>
    <xf numFmtId="165" fontId="5" fillId="3" borderId="4" xfId="0" applyNumberFormat="1" applyFont="1" applyFill="1" applyBorder="1"/>
    <xf numFmtId="0" fontId="0" fillId="0" borderId="0" xfId="0" applyAlignment="1">
      <alignment horizontal="left" indent="1"/>
    </xf>
    <xf numFmtId="0" fontId="4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7" fillId="0" borderId="4" xfId="0" applyFont="1" applyBorder="1"/>
    <xf numFmtId="0" fontId="17" fillId="0" borderId="4" xfId="0" applyFont="1" applyBorder="1" applyAlignment="1">
      <alignment horizontal="center"/>
    </xf>
    <xf numFmtId="0" fontId="18" fillId="3" borderId="4" xfId="0" applyFont="1" applyFill="1" applyBorder="1" applyAlignment="1">
      <alignment horizontal="center" vertical="center"/>
    </xf>
    <xf numFmtId="165" fontId="19" fillId="3" borderId="4" xfId="0" applyNumberFormat="1" applyFont="1" applyFill="1" applyBorder="1" applyAlignment="1">
      <alignment horizontal="center" vertical="center" wrapText="1"/>
    </xf>
    <xf numFmtId="165" fontId="19" fillId="3" borderId="4" xfId="0" applyNumberFormat="1" applyFont="1" applyFill="1" applyBorder="1" applyAlignment="1">
      <alignment horizontal="center" vertical="center"/>
    </xf>
    <xf numFmtId="0" fontId="20" fillId="0" borderId="0" xfId="0" applyFont="1"/>
    <xf numFmtId="0" fontId="0" fillId="0" borderId="4" xfId="0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14" fontId="0" fillId="0" borderId="4" xfId="0" applyNumberFormat="1" applyBorder="1"/>
    <xf numFmtId="0" fontId="0" fillId="3" borderId="0" xfId="0" applyFill="1"/>
    <xf numFmtId="0" fontId="0" fillId="3" borderId="0" xfId="0" applyFill="1" applyBorder="1"/>
    <xf numFmtId="0" fontId="0" fillId="3" borderId="42" xfId="0" applyFill="1" applyBorder="1"/>
    <xf numFmtId="0" fontId="0" fillId="3" borderId="44" xfId="0" applyFill="1" applyBorder="1"/>
    <xf numFmtId="0" fontId="0" fillId="3" borderId="44" xfId="0" applyFill="1" applyBorder="1" applyAlignment="1">
      <alignment horizontal="center"/>
    </xf>
    <xf numFmtId="0" fontId="0" fillId="0" borderId="0" xfId="0" applyBorder="1"/>
    <xf numFmtId="0" fontId="0" fillId="3" borderId="47" xfId="0" applyFill="1" applyBorder="1"/>
    <xf numFmtId="0" fontId="0" fillId="3" borderId="34" xfId="0" applyFill="1" applyBorder="1"/>
    <xf numFmtId="0" fontId="13" fillId="3" borderId="34" xfId="0" applyFont="1" applyFill="1" applyBorder="1" applyAlignment="1">
      <alignment horizontal="center"/>
    </xf>
    <xf numFmtId="0" fontId="0" fillId="3" borderId="49" xfId="0" applyFill="1" applyBorder="1"/>
    <xf numFmtId="0" fontId="13" fillId="3" borderId="34" xfId="0" applyFont="1" applyFill="1" applyBorder="1"/>
    <xf numFmtId="0" fontId="0" fillId="3" borderId="42" xfId="0" applyFill="1" applyBorder="1" applyAlignment="1"/>
    <xf numFmtId="0" fontId="0" fillId="3" borderId="43" xfId="0" applyFill="1" applyBorder="1" applyAlignment="1"/>
    <xf numFmtId="0" fontId="0" fillId="3" borderId="40" xfId="0" applyFill="1" applyBorder="1" applyAlignment="1"/>
    <xf numFmtId="0" fontId="0" fillId="3" borderId="39" xfId="0" applyFill="1" applyBorder="1" applyAlignment="1"/>
    <xf numFmtId="0" fontId="0" fillId="3" borderId="29" xfId="0" applyFill="1" applyBorder="1"/>
    <xf numFmtId="0" fontId="0" fillId="3" borderId="41" xfId="0" applyFill="1" applyBorder="1" applyAlignment="1"/>
    <xf numFmtId="0" fontId="0" fillId="3" borderId="7" xfId="0" applyFill="1" applyBorder="1"/>
    <xf numFmtId="0" fontId="0" fillId="3" borderId="53" xfId="0" applyFill="1" applyBorder="1"/>
    <xf numFmtId="0" fontId="0" fillId="3" borderId="52" xfId="0" applyFill="1" applyBorder="1"/>
    <xf numFmtId="0" fontId="0" fillId="3" borderId="37" xfId="0" applyFill="1" applyBorder="1"/>
    <xf numFmtId="0" fontId="0" fillId="3" borderId="36" xfId="0" applyFill="1" applyBorder="1"/>
    <xf numFmtId="0" fontId="0" fillId="3" borderId="50" xfId="0" applyFill="1" applyBorder="1" applyAlignment="1"/>
    <xf numFmtId="0" fontId="21" fillId="3" borderId="37" xfId="0" applyFont="1" applyFill="1" applyBorder="1" applyAlignment="1">
      <alignment horizontal="center" vertical="center"/>
    </xf>
    <xf numFmtId="0" fontId="21" fillId="3" borderId="44" xfId="0" applyFont="1" applyFill="1" applyBorder="1" applyAlignment="1">
      <alignment horizontal="center" vertical="center"/>
    </xf>
    <xf numFmtId="0" fontId="0" fillId="3" borderId="41" xfId="0" applyFill="1" applyBorder="1"/>
    <xf numFmtId="0" fontId="0" fillId="3" borderId="50" xfId="0" applyFill="1" applyBorder="1"/>
    <xf numFmtId="0" fontId="21" fillId="3" borderId="41" xfId="0" applyFont="1" applyFill="1" applyBorder="1" applyAlignment="1">
      <alignment horizontal="center" vertical="center"/>
    </xf>
    <xf numFmtId="0" fontId="21" fillId="3" borderId="42" xfId="0" applyFont="1" applyFill="1" applyBorder="1" applyAlignment="1">
      <alignment horizontal="center" vertical="center"/>
    </xf>
    <xf numFmtId="0" fontId="0" fillId="3" borderId="42" xfId="0" applyFill="1" applyBorder="1" applyAlignment="1">
      <alignment horizontal="center"/>
    </xf>
    <xf numFmtId="0" fontId="13" fillId="3" borderId="34" xfId="0" applyFont="1" applyFill="1" applyBorder="1" applyAlignment="1">
      <alignment horizontal="left"/>
    </xf>
    <xf numFmtId="0" fontId="0" fillId="0" borderId="34" xfId="0" applyBorder="1"/>
    <xf numFmtId="0" fontId="0" fillId="0" borderId="34" xfId="0" applyFont="1" applyBorder="1" applyAlignment="1">
      <alignment horizontal="center"/>
    </xf>
    <xf numFmtId="14" fontId="0" fillId="0" borderId="4" xfId="0" applyNumberFormat="1" applyBorder="1" applyAlignment="1">
      <alignment vertical="center"/>
    </xf>
    <xf numFmtId="0" fontId="13" fillId="0" borderId="34" xfId="0" applyFont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34" xfId="0" applyBorder="1" applyAlignment="1">
      <alignment vertical="center"/>
    </xf>
    <xf numFmtId="14" fontId="0" fillId="0" borderId="34" xfId="0" applyNumberFormat="1" applyBorder="1" applyAlignment="1">
      <alignment vertical="center"/>
    </xf>
    <xf numFmtId="14" fontId="0" fillId="0" borderId="34" xfId="0" applyNumberFormat="1" applyBorder="1"/>
    <xf numFmtId="0" fontId="0" fillId="3" borderId="0" xfId="0" applyFill="1" applyBorder="1" applyAlignment="1"/>
    <xf numFmtId="0" fontId="22" fillId="3" borderId="0" xfId="0" applyFont="1" applyFill="1" applyBorder="1" applyAlignment="1">
      <alignment horizontal="center" vertical="center"/>
    </xf>
    <xf numFmtId="0" fontId="0" fillId="3" borderId="29" xfId="0" applyFill="1" applyBorder="1" applyAlignment="1"/>
    <xf numFmtId="0" fontId="0" fillId="3" borderId="7" xfId="0" applyFill="1" applyBorder="1" applyAlignment="1"/>
    <xf numFmtId="0" fontId="13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3" fillId="0" borderId="34" xfId="0" applyFont="1" applyBorder="1" applyAlignment="1">
      <alignment vertical="center" wrapText="1"/>
    </xf>
    <xf numFmtId="0" fontId="22" fillId="3" borderId="40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4" xfId="0" applyBorder="1" applyAlignment="1">
      <alignment wrapText="1"/>
    </xf>
    <xf numFmtId="0" fontId="13" fillId="0" borderId="4" xfId="0" applyFont="1" applyBorder="1" applyAlignment="1">
      <alignment horizontal="center" vertical="center" wrapText="1"/>
    </xf>
    <xf numFmtId="0" fontId="0" fillId="6" borderId="0" xfId="0" applyFill="1"/>
    <xf numFmtId="0" fontId="0" fillId="3" borderId="34" xfId="0" applyFill="1" applyBorder="1" applyAlignment="1">
      <alignment horizontal="center"/>
    </xf>
    <xf numFmtId="0" fontId="13" fillId="3" borderId="34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4" xfId="0" applyBorder="1" applyAlignment="1">
      <alignment horizontal="center"/>
    </xf>
    <xf numFmtId="0" fontId="23" fillId="3" borderId="34" xfId="0" applyFont="1" applyFill="1" applyBorder="1" applyAlignment="1">
      <alignment horizontal="center" vertical="center" wrapText="1"/>
    </xf>
    <xf numFmtId="0" fontId="23" fillId="3" borderId="34" xfId="0" applyFont="1" applyFill="1" applyBorder="1" applyAlignment="1">
      <alignment horizontal="center" vertical="center"/>
    </xf>
    <xf numFmtId="0" fontId="25" fillId="5" borderId="31" xfId="0" applyFont="1" applyFill="1" applyBorder="1" applyAlignment="1">
      <alignment horizontal="center" vertical="top"/>
    </xf>
    <xf numFmtId="0" fontId="25" fillId="5" borderId="28" xfId="0" applyFont="1" applyFill="1" applyBorder="1" applyAlignment="1">
      <alignment horizontal="center" vertical="top"/>
    </xf>
    <xf numFmtId="0" fontId="25" fillId="5" borderId="1" xfId="0" applyFont="1" applyFill="1" applyBorder="1" applyAlignment="1">
      <alignment horizontal="center" vertical="top"/>
    </xf>
    <xf numFmtId="0" fontId="13" fillId="3" borderId="43" xfId="0" applyFont="1" applyFill="1" applyBorder="1" applyAlignment="1">
      <alignment horizontal="center" vertical="center"/>
    </xf>
    <xf numFmtId="0" fontId="13" fillId="3" borderId="40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8" fontId="25" fillId="4" borderId="41" xfId="0" applyNumberFormat="1" applyFont="1" applyFill="1" applyBorder="1" applyAlignment="1">
      <alignment horizontal="center" vertical="top"/>
    </xf>
    <xf numFmtId="168" fontId="25" fillId="4" borderId="42" xfId="0" applyNumberFormat="1" applyFont="1" applyFill="1" applyBorder="1" applyAlignment="1">
      <alignment horizontal="center" vertical="top"/>
    </xf>
    <xf numFmtId="168" fontId="25" fillId="4" borderId="50" xfId="0" applyNumberFormat="1" applyFont="1" applyFill="1" applyBorder="1" applyAlignment="1">
      <alignment horizontal="center" vertical="top"/>
    </xf>
    <xf numFmtId="168" fontId="25" fillId="4" borderId="29" xfId="0" applyNumberFormat="1" applyFont="1" applyFill="1" applyBorder="1" applyAlignment="1">
      <alignment horizontal="center" vertical="top"/>
    </xf>
    <xf numFmtId="168" fontId="25" fillId="4" borderId="0" xfId="0" applyNumberFormat="1" applyFont="1" applyFill="1" applyBorder="1" applyAlignment="1">
      <alignment horizontal="center" vertical="top"/>
    </xf>
    <xf numFmtId="168" fontId="25" fillId="4" borderId="7" xfId="0" applyNumberFormat="1" applyFont="1" applyFill="1" applyBorder="1" applyAlignment="1">
      <alignment horizontal="center" vertical="top"/>
    </xf>
    <xf numFmtId="168" fontId="25" fillId="4" borderId="37" xfId="0" applyNumberFormat="1" applyFont="1" applyFill="1" applyBorder="1" applyAlignment="1">
      <alignment horizontal="center" vertical="top"/>
    </xf>
    <xf numFmtId="168" fontId="25" fillId="4" borderId="44" xfId="0" applyNumberFormat="1" applyFont="1" applyFill="1" applyBorder="1" applyAlignment="1">
      <alignment horizontal="center" vertical="top"/>
    </xf>
    <xf numFmtId="168" fontId="25" fillId="4" borderId="36" xfId="0" applyNumberFormat="1" applyFont="1" applyFill="1" applyBorder="1" applyAlignment="1">
      <alignment horizontal="center" vertical="top"/>
    </xf>
    <xf numFmtId="0" fontId="22" fillId="3" borderId="40" xfId="0" applyFont="1" applyFill="1" applyBorder="1" applyAlignment="1">
      <alignment horizontal="center" vertical="center"/>
    </xf>
    <xf numFmtId="0" fontId="0" fillId="3" borderId="34" xfId="0" applyFill="1" applyBorder="1" applyAlignment="1">
      <alignment horizontal="center"/>
    </xf>
    <xf numFmtId="14" fontId="24" fillId="3" borderId="48" xfId="0" applyNumberFormat="1" applyFont="1" applyFill="1" applyBorder="1" applyAlignment="1">
      <alignment horizontal="center" vertical="center"/>
    </xf>
    <xf numFmtId="14" fontId="24" fillId="3" borderId="49" xfId="0" applyNumberFormat="1" applyFont="1" applyFill="1" applyBorder="1" applyAlignment="1">
      <alignment horizontal="center" vertical="center"/>
    </xf>
    <xf numFmtId="14" fontId="24" fillId="3" borderId="52" xfId="0" applyNumberFormat="1" applyFont="1" applyFill="1" applyBorder="1" applyAlignment="1">
      <alignment horizontal="center" vertical="center"/>
    </xf>
    <xf numFmtId="14" fontId="16" fillId="3" borderId="48" xfId="0" applyNumberFormat="1" applyFont="1" applyFill="1" applyBorder="1" applyAlignment="1">
      <alignment horizontal="center" vertical="center"/>
    </xf>
    <xf numFmtId="14" fontId="16" fillId="3" borderId="49" xfId="0" applyNumberFormat="1" applyFont="1" applyFill="1" applyBorder="1" applyAlignment="1">
      <alignment horizontal="center" vertical="center"/>
    </xf>
    <xf numFmtId="14" fontId="16" fillId="3" borderId="52" xfId="0" applyNumberFormat="1" applyFont="1" applyFill="1" applyBorder="1" applyAlignment="1">
      <alignment horizontal="center" vertical="center"/>
    </xf>
    <xf numFmtId="0" fontId="0" fillId="3" borderId="43" xfId="0" quotePrefix="1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27" fillId="3" borderId="41" xfId="0" applyFont="1" applyFill="1" applyBorder="1" applyAlignment="1">
      <alignment horizontal="center" vertical="center"/>
    </xf>
    <xf numFmtId="0" fontId="27" fillId="3" borderId="42" xfId="0" applyFont="1" applyFill="1" applyBorder="1" applyAlignment="1">
      <alignment horizontal="center" vertical="center"/>
    </xf>
    <xf numFmtId="0" fontId="27" fillId="3" borderId="50" xfId="0" applyFont="1" applyFill="1" applyBorder="1" applyAlignment="1">
      <alignment horizontal="center" vertical="center"/>
    </xf>
    <xf numFmtId="0" fontId="27" fillId="3" borderId="37" xfId="0" applyFont="1" applyFill="1" applyBorder="1" applyAlignment="1">
      <alignment horizontal="center" vertical="center"/>
    </xf>
    <xf numFmtId="0" fontId="27" fillId="3" borderId="44" xfId="0" applyFont="1" applyFill="1" applyBorder="1" applyAlignment="1">
      <alignment horizontal="center" vertical="center"/>
    </xf>
    <xf numFmtId="0" fontId="27" fillId="3" borderId="36" xfId="0" applyFont="1" applyFill="1" applyBorder="1" applyAlignment="1">
      <alignment horizontal="center" vertical="center"/>
    </xf>
    <xf numFmtId="0" fontId="23" fillId="3" borderId="43" xfId="0" applyFont="1" applyFill="1" applyBorder="1" applyAlignment="1">
      <alignment horizontal="center" vertical="center" wrapText="1"/>
    </xf>
    <xf numFmtId="0" fontId="23" fillId="3" borderId="40" xfId="0" applyFont="1" applyFill="1" applyBorder="1" applyAlignment="1">
      <alignment horizontal="center" vertical="center"/>
    </xf>
    <xf numFmtId="0" fontId="23" fillId="3" borderId="39" xfId="0" applyFont="1" applyFill="1" applyBorder="1" applyAlignment="1">
      <alignment horizontal="center" vertical="center"/>
    </xf>
    <xf numFmtId="0" fontId="21" fillId="4" borderId="34" xfId="0" applyNumberFormat="1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20" fillId="3" borderId="34" xfId="0" applyFont="1" applyFill="1" applyBorder="1" applyAlignment="1">
      <alignment horizontal="center"/>
    </xf>
    <xf numFmtId="14" fontId="20" fillId="3" borderId="34" xfId="0" applyNumberFormat="1" applyFont="1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1" fontId="26" fillId="3" borderId="34" xfId="0" applyNumberFormat="1" applyFont="1" applyFill="1" applyBorder="1" applyAlignment="1">
      <alignment horizontal="center"/>
    </xf>
    <xf numFmtId="0" fontId="26" fillId="3" borderId="34" xfId="0" applyFont="1" applyFill="1" applyBorder="1" applyAlignment="1">
      <alignment horizontal="center"/>
    </xf>
    <xf numFmtId="1" fontId="26" fillId="3" borderId="34" xfId="0" quotePrefix="1" applyNumberFormat="1" applyFont="1" applyFill="1" applyBorder="1" applyAlignment="1">
      <alignment horizontal="center" vertical="center" wrapText="1"/>
    </xf>
    <xf numFmtId="0" fontId="26" fillId="3" borderId="34" xfId="0" applyFont="1" applyFill="1" applyBorder="1" applyAlignment="1">
      <alignment horizontal="center" vertical="center" wrapText="1"/>
    </xf>
    <xf numFmtId="0" fontId="13" fillId="3" borderId="43" xfId="0" applyFont="1" applyFill="1" applyBorder="1" applyAlignment="1">
      <alignment horizontal="center"/>
    </xf>
    <xf numFmtId="0" fontId="13" fillId="3" borderId="40" xfId="0" applyFont="1" applyFill="1" applyBorder="1" applyAlignment="1">
      <alignment horizontal="center"/>
    </xf>
    <xf numFmtId="0" fontId="13" fillId="3" borderId="39" xfId="0" applyFont="1" applyFill="1" applyBorder="1" applyAlignment="1">
      <alignment horizontal="center"/>
    </xf>
    <xf numFmtId="0" fontId="22" fillId="3" borderId="40" xfId="0" applyFont="1" applyFill="1" applyBorder="1" applyAlignment="1">
      <alignment horizontal="center" vertical="center" wrapText="1"/>
    </xf>
    <xf numFmtId="0" fontId="23" fillId="3" borderId="43" xfId="0" applyFont="1" applyFill="1" applyBorder="1" applyAlignment="1">
      <alignment horizontal="center" vertical="center"/>
    </xf>
    <xf numFmtId="0" fontId="14" fillId="3" borderId="45" xfId="0" applyFont="1" applyFill="1" applyBorder="1" applyAlignment="1">
      <alignment horizontal="center"/>
    </xf>
    <xf numFmtId="0" fontId="14" fillId="3" borderId="46" xfId="0" applyFont="1" applyFill="1" applyBorder="1" applyAlignment="1">
      <alignment horizontal="center"/>
    </xf>
    <xf numFmtId="0" fontId="14" fillId="3" borderId="51" xfId="0" applyFont="1" applyFill="1" applyBorder="1" applyAlignment="1">
      <alignment horizontal="center"/>
    </xf>
    <xf numFmtId="0" fontId="0" fillId="3" borderId="34" xfId="0" quotePrefix="1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26" fillId="3" borderId="34" xfId="0" quotePrefix="1" applyFont="1" applyFill="1" applyBorder="1" applyAlignment="1">
      <alignment horizontal="center" vertical="top" wrapText="1"/>
    </xf>
    <xf numFmtId="0" fontId="26" fillId="3" borderId="34" xfId="0" applyFont="1" applyFill="1" applyBorder="1" applyAlignment="1">
      <alignment horizontal="center" vertical="top"/>
    </xf>
    <xf numFmtId="0" fontId="14" fillId="0" borderId="38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6" fillId="0" borderId="4" xfId="0" applyFont="1" applyBorder="1" applyAlignment="1">
      <alignment horizontal="center" vertical="center" textRotation="180"/>
    </xf>
    <xf numFmtId="0" fontId="20" fillId="0" borderId="38" xfId="0" applyFont="1" applyBorder="1" applyAlignment="1">
      <alignment horizontal="center"/>
    </xf>
    <xf numFmtId="0" fontId="20" fillId="0" borderId="39" xfId="0" applyFont="1" applyBorder="1" applyAlignment="1">
      <alignment horizontal="center"/>
    </xf>
  </cellXfs>
  <cellStyles count="5">
    <cellStyle name="Comma" xfId="1" builtinId="3"/>
    <cellStyle name="Normal" xfId="0" builtinId="0"/>
    <cellStyle name="Normal 19 2" xfId="3" xr:uid="{00000000-0005-0000-0000-000003000000}"/>
    <cellStyle name="Normal 57" xfId="4" xr:uid="{C57A184B-ABF4-4345-A9B1-BB72CC988D84}"/>
    <cellStyle name="Normal_Sheet1" xfId="2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powerPivotData" Target="model/item.data"/><Relationship Id="rId39" Type="http://schemas.openxmlformats.org/officeDocument/2006/relationships/customXml" Target="../customXml/item12.xml"/><Relationship Id="rId21" Type="http://schemas.openxmlformats.org/officeDocument/2006/relationships/pivotCacheDefinition" Target="pivotCache/pivotCacheDefinition3.xml"/><Relationship Id="rId34" Type="http://schemas.openxmlformats.org/officeDocument/2006/relationships/customXml" Target="../customXml/item7.xml"/><Relationship Id="rId42" Type="http://schemas.openxmlformats.org/officeDocument/2006/relationships/customXml" Target="../customXml/item1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openxmlformats.org/officeDocument/2006/relationships/customXml" Target="../customXml/item2.xml"/><Relationship Id="rId41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5.xml"/><Relationship Id="rId37" Type="http://schemas.openxmlformats.org/officeDocument/2006/relationships/customXml" Target="../customXml/item10.xml"/><Relationship Id="rId40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1.xml"/><Relationship Id="rId36" Type="http://schemas.openxmlformats.org/officeDocument/2006/relationships/customXml" Target="../customXml/item9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customXml" Target="../customXml/item4.xml"/><Relationship Id="rId44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Relationship Id="rId35" Type="http://schemas.openxmlformats.org/officeDocument/2006/relationships/customXml" Target="../customXml/item8.xml"/><Relationship Id="rId43" Type="http://schemas.openxmlformats.org/officeDocument/2006/relationships/customXml" Target="../customXml/item1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6.xml"/><Relationship Id="rId38" Type="http://schemas.openxmlformats.org/officeDocument/2006/relationships/customXml" Target="../customXml/item1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[LGM  Incident Tracking 2025.xlsx]LTIs.MONTH!PivotTable1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LTIs/Month</a:t>
            </a:r>
          </a:p>
        </c:rich>
      </c:tx>
      <c:layout>
        <c:manualLayout>
          <c:xMode val="edge"/>
          <c:yMode val="edge"/>
          <c:x val="0.38893646544517907"/>
          <c:y val="5.1248662026084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702854125244365E-2"/>
          <c:y val="0.216645884258233"/>
          <c:w val="0.8910345615605858"/>
          <c:h val="0.619629132247208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LTIs.MONTH!$B$4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8100" cap="rnd" cmpd="sng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LTIs.MONTH!$A$5:$A$18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LTIs.MONTH!$B$5:$B$18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A-4851-A76A-0001D87993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1777583"/>
        <c:axId val="2111781743"/>
      </c:barChart>
      <c:catAx>
        <c:axId val="211177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81743"/>
        <c:crosses val="autoZero"/>
        <c:auto val="1"/>
        <c:lblAlgn val="ctr"/>
        <c:lblOffset val="100"/>
        <c:noMultiLvlLbl val="0"/>
      </c:catAx>
      <c:valAx>
        <c:axId val="2111781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7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[LGM  Incident Tracking 2025.xlsx]Injury type!PivotTable1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Body Part Injured</a:t>
            </a:r>
          </a:p>
        </c:rich>
      </c:tx>
      <c:layout>
        <c:manualLayout>
          <c:xMode val="edge"/>
          <c:yMode val="edge"/>
          <c:x val="0.37563053146346087"/>
          <c:y val="4.28127072134671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26885640924046"/>
          <c:y val="0.24627380033577073"/>
          <c:w val="0.83561215255482391"/>
          <c:h val="0.409558955782827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'Injury type'!$B$3:$B$4</c:f>
              <c:strCache>
                <c:ptCount val="1"/>
                <c:pt idx="0">
                  <c:v>LTI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'Injury type'!$A$5:$A$7</c:f>
              <c:strCache>
                <c:ptCount val="2"/>
                <c:pt idx="0">
                  <c:v>Foot</c:v>
                </c:pt>
                <c:pt idx="1">
                  <c:v>Hand</c:v>
                </c:pt>
              </c:strCache>
            </c:strRef>
          </c:cat>
          <c:val>
            <c:numRef>
              <c:f>'Injury type'!$B$5:$B$7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1-4A65-B010-6E3C6AFBC2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1777583"/>
        <c:axId val="2111781743"/>
      </c:barChart>
      <c:catAx>
        <c:axId val="211177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81743"/>
        <c:crosses val="autoZero"/>
        <c:auto val="1"/>
        <c:lblAlgn val="ctr"/>
        <c:lblOffset val="100"/>
        <c:noMultiLvlLbl val="0"/>
      </c:catAx>
      <c:valAx>
        <c:axId val="2111781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77583"/>
        <c:crosses val="autoZero"/>
        <c:crossBetween val="between"/>
        <c:majorUnit val="1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708901672880857"/>
          <c:y val="3.4081658873573777E-2"/>
          <c:w val="0.19871531702432196"/>
          <c:h val="0.279055489513226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[LGM  Incident Tracking 2025.xlsx]Incident Category!PivotTable1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Incident Category</a:t>
            </a:r>
          </a:p>
        </c:rich>
      </c:tx>
      <c:layout>
        <c:manualLayout>
          <c:xMode val="edge"/>
          <c:yMode val="edge"/>
          <c:x val="0.33533391267765439"/>
          <c:y val="5.1248828740393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504D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'Incident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504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67-4344-917D-71B93733A9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'Incident Category'!$A$4:$A$6</c:f>
              <c:strCache>
                <c:ptCount val="2"/>
                <c:pt idx="0">
                  <c:v>LTI</c:v>
                </c:pt>
                <c:pt idx="1">
                  <c:v>First Aid</c:v>
                </c:pt>
              </c:strCache>
            </c:strRef>
          </c:cat>
          <c:val>
            <c:numRef>
              <c:f>'Incident Category'!$B$4:$B$6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09-4C92-9D29-6B0960BF36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1777583"/>
        <c:axId val="2111781743"/>
      </c:barChart>
      <c:catAx>
        <c:axId val="211177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81743"/>
        <c:crosses val="autoZero"/>
        <c:auto val="1"/>
        <c:lblAlgn val="ctr"/>
        <c:lblOffset val="100"/>
        <c:noMultiLvlLbl val="0"/>
      </c:catAx>
      <c:valAx>
        <c:axId val="2111781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7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[LGM  Incident Tracking 2025.xlsx]Firstaid!PivotTable1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First Aid/Month</a:t>
            </a:r>
          </a:p>
        </c:rich>
      </c:tx>
      <c:layout>
        <c:manualLayout>
          <c:xMode val="edge"/>
          <c:yMode val="edge"/>
          <c:x val="0.42953109759287122"/>
          <c:y val="4.67096493057101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504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504D"/>
          </a:solidFill>
          <a:ln>
            <a:noFill/>
          </a:ln>
          <a:effectLst/>
        </c:spPr>
      </c:pivotFmt>
      <c:pivotFmt>
        <c:idx val="9"/>
      </c:pivotFmt>
      <c:pivotFmt>
        <c:idx val="10"/>
        <c:spPr>
          <a:solidFill>
            <a:srgbClr val="C0504D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Firstaid!$B$4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C35-464A-A2FD-F9B16D4AD84B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024D-4EAB-8B0D-D3C4D7E354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Firstaid!$A$5:$A$17</c:f>
              <c:multiLvlStrCache>
                <c:ptCount val="11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Firstaid!$B$5:$B$17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5-4744-926C-13D455DBDD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1777583"/>
        <c:axId val="2111781743"/>
      </c:barChart>
      <c:catAx>
        <c:axId val="211177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81743"/>
        <c:crosses val="autoZero"/>
        <c:auto val="1"/>
        <c:lblAlgn val="ctr"/>
        <c:lblOffset val="100"/>
        <c:noMultiLvlLbl val="0"/>
      </c:catAx>
      <c:valAx>
        <c:axId val="2111781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7758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[LGM  Incident Tracking 2025.xlsx]Injury.Dept!PivotTable1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Injury/Dept</a:t>
            </a:r>
          </a:p>
        </c:rich>
      </c:tx>
      <c:layout>
        <c:manualLayout>
          <c:xMode val="edge"/>
          <c:yMode val="edge"/>
          <c:x val="0.41628621304412416"/>
          <c:y val="5.1248831526641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0504D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8350142856716803"/>
          <c:y val="0.17600395469200333"/>
          <c:w val="0.62540832268143731"/>
          <c:h val="0.7092807838448557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Injury.Dept!$B$3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504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5FC-41B0-A578-E1D374C35F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Injury.Dept!$A$4:$A$6</c:f>
              <c:strCache>
                <c:ptCount val="2"/>
                <c:pt idx="0">
                  <c:v>HAMMERS</c:v>
                </c:pt>
                <c:pt idx="1">
                  <c:v>Warehouse</c:v>
                </c:pt>
              </c:strCache>
            </c:strRef>
          </c:cat>
          <c:val>
            <c:numRef>
              <c:f>Injury.Dept!$B$4:$B$6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9-4561-AB92-4E7E083DEA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111777583"/>
        <c:axId val="2111781743"/>
      </c:barChart>
      <c:catAx>
        <c:axId val="2111777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81743"/>
        <c:crosses val="autoZero"/>
        <c:auto val="1"/>
        <c:lblAlgn val="ctr"/>
        <c:lblOffset val="100"/>
        <c:noMultiLvlLbl val="0"/>
      </c:catAx>
      <c:valAx>
        <c:axId val="211178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7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14612989522828"/>
          <c:y val="6.3025484538476784E-2"/>
          <c:w val="0.16828293831512581"/>
          <c:h val="0.201458252355154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Closure Rate</a:t>
            </a:r>
          </a:p>
        </c:rich>
      </c:tx>
      <c:layout>
        <c:manualLayout>
          <c:xMode val="edge"/>
          <c:yMode val="edge"/>
          <c:x val="0.3529512904561361"/>
          <c:y val="1.05898448955754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E6-49CB-BFFB-EF37F62F37EE}"/>
              </c:ext>
            </c:extLst>
          </c:dPt>
          <c:dLbls>
            <c:dLbl>
              <c:idx val="0"/>
              <c:layout>
                <c:manualLayout>
                  <c:x val="8.0870078875125637E-3"/>
                  <c:y val="-0.3064139952699633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8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840765507326658"/>
                      <c:h val="0.3478070817356008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CE6-49CB-BFFB-EF37F62F37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'[1]Open Items Status'!$B$7</c:f>
              <c:strCache>
                <c:ptCount val="1"/>
                <c:pt idx="0">
                  <c:v>Percentage Closed</c:v>
                </c:pt>
              </c:strCache>
            </c:strRef>
          </c:cat>
          <c:val>
            <c:numRef>
              <c:f>'[1]Open Items Status'!$C$7</c:f>
              <c:numCache>
                <c:formatCode>General</c:formatCode>
                <c:ptCount val="1"/>
                <c:pt idx="0">
                  <c:v>0.75268817204301075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E6-49CB-BFFB-EF37F62F37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[LGM  Incident Tracking 2025.xlsx]Day of incident (2)!PivotTable2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Day of Incident</a:t>
            </a:r>
            <a:endParaRPr lang="en-ZA" b="1"/>
          </a:p>
        </c:rich>
      </c:tx>
      <c:layout>
        <c:manualLayout>
          <c:xMode val="edge"/>
          <c:yMode val="edge"/>
          <c:x val="0.37574516877055764"/>
          <c:y val="5.49316603034285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4F81BD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0504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5163786886495423E-2"/>
          <c:y val="0.27437166793602435"/>
          <c:w val="0.92923993151849527"/>
          <c:h val="0.501166685035341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'Day of incident (2)'!$B$3:$B$4</c:f>
              <c:strCache>
                <c:ptCount val="1"/>
                <c:pt idx="0">
                  <c:v>LTI</c:v>
                </c:pt>
              </c:strCache>
            </c:strRef>
          </c:tx>
          <c:spPr>
            <a:solidFill>
              <a:srgbClr val="4F81BD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'Day of incident (2)'!$A$5:$A$6</c:f>
              <c:strCache>
                <c:ptCount val="1"/>
                <c:pt idx="0">
                  <c:v>FRIDAY</c:v>
                </c:pt>
              </c:strCache>
            </c:strRef>
          </c:cat>
          <c:val>
            <c:numRef>
              <c:f>'Day of incident (2)'!$B$5:$B$6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4-47F1-A1E8-43B8DD61DE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2378592"/>
        <c:axId val="102369856"/>
      </c:barChart>
      <c:catAx>
        <c:axId val="10237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69856"/>
        <c:crosses val="autoZero"/>
        <c:auto val="1"/>
        <c:lblAlgn val="ctr"/>
        <c:lblOffset val="100"/>
        <c:noMultiLvlLbl val="0"/>
      </c:catAx>
      <c:valAx>
        <c:axId val="102369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859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819893139859521"/>
          <c:y val="4.8901427605565068E-2"/>
          <c:w val="0.19484241106342534"/>
          <c:h val="0.291825797775127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[LGM  Incident Tracking 2025.xlsx]IOD TIMELOST!PivotTable2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TIME LOST(Hrs)/Month</a:t>
            </a:r>
            <a:endParaRPr lang="en-ZA" b="1"/>
          </a:p>
        </c:rich>
      </c:tx>
      <c:layout>
        <c:manualLayout>
          <c:xMode val="edge"/>
          <c:yMode val="edge"/>
          <c:x val="0.35097786630506311"/>
          <c:y val="7.16557857926670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'IOD TIMELOST'!$B$4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'IOD TIMELOST'!$A$5:$A$16</c:f>
              <c:multiLvlStrCache>
                <c:ptCount val="1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'IOD TIMELOST'!$B$5:$B$16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1.92</c:v>
                </c:pt>
                <c:pt idx="4">
                  <c:v>0</c:v>
                </c:pt>
                <c:pt idx="5">
                  <c:v>12.76</c:v>
                </c:pt>
                <c:pt idx="6">
                  <c:v>24.76</c:v>
                </c:pt>
                <c:pt idx="7">
                  <c:v>23</c:v>
                </c:pt>
                <c:pt idx="8">
                  <c:v>5.44</c:v>
                </c:pt>
                <c:pt idx="9">
                  <c:v>14.08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CC-4433-B1D9-D6D9F9F0A4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378592"/>
        <c:axId val="102369856"/>
      </c:barChart>
      <c:catAx>
        <c:axId val="10237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69856"/>
        <c:crosses val="autoZero"/>
        <c:auto val="1"/>
        <c:lblAlgn val="ctr"/>
        <c:lblOffset val="100"/>
        <c:noMultiLvlLbl val="0"/>
      </c:catAx>
      <c:valAx>
        <c:axId val="102369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8592"/>
        <c:crosses val="autoZero"/>
        <c:crossBetween val="between"/>
        <c:majorUnit val="7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YTD Number of Returns</a:t>
            </a:r>
          </a:p>
        </c:rich>
      </c:tx>
      <c:layout>
        <c:manualLayout>
          <c:xMode val="edge"/>
          <c:yMode val="edge"/>
          <c:x val="0.22060373362358285"/>
          <c:y val="5.3377838639735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61550861129692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462910798122064"/>
                  <c:h val="0.19379658261838242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1573818473208314E-2"/>
              <c:y val="4.7347017668780201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955868544600935"/>
                  <c:h val="0.22826076632605014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layout>
            <c:manualLayout>
              <c:x val="0"/>
              <c:y val="-0.183907972000292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08902292392884"/>
          <c:y val="0.23251876990522172"/>
          <c:w val="0.56118968302039163"/>
          <c:h val="0.59630859317910057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B3-4983-9C20-BCB7EEF18D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B3-4983-9C20-BCB7EEF18D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EB3-4983-9C20-BCB7EEF18D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EB3-4983-9C20-BCB7EEF18D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 SECATEUR</c:v>
              </c:pt>
              <c:pt idx="1">
                <c:v>SPREADER</c:v>
              </c:pt>
              <c:pt idx="2">
                <c:v>Pressure sprayer 1.25 L</c:v>
              </c:pt>
              <c:pt idx="3">
                <c:v>Bowsaw secateur combo </c:v>
              </c:pt>
            </c:strLit>
          </c:cat>
          <c:val>
            <c:numLit>
              <c:formatCode>General</c:formatCode>
              <c:ptCount val="4"/>
              <c:pt idx="0">
                <c:v>40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8-6EB3-4983-9C20-BCB7EEF18D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63320548320892"/>
          <c:y val="0.30024363802350795"/>
          <c:w val="0.34181486469946559"/>
          <c:h val="0.620046217048955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Returned/Month</a:t>
            </a:r>
          </a:p>
        </c:rich>
      </c:tx>
      <c:layout>
        <c:manualLayout>
          <c:xMode val="edge"/>
          <c:yMode val="edge"/>
          <c:x val="0.25698725159355079"/>
          <c:y val="6.94533344622244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</c:pivotFmt>
      <c:pivotFmt>
        <c:idx val="26"/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9.7536652988798919E-2"/>
          <c:y val="0.30866577475892032"/>
          <c:w val="0.78978729067317288"/>
          <c:h val="0.48464478145772644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F87-4FBC-B756-772775052C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Jul</c:v>
              </c:pt>
              <c:pt idx="1">
                <c:v>Aug</c:v>
              </c:pt>
              <c:pt idx="2">
                <c:v>Sep</c:v>
              </c:pt>
              <c:pt idx="3">
                <c:v>Oct</c:v>
              </c:pt>
              <c:pt idx="4">
                <c:v>Nov</c:v>
              </c:pt>
            </c:strLit>
          </c:cat>
          <c:val>
            <c:numLit>
              <c:formatCode>General</c:formatCode>
              <c:ptCount val="5"/>
              <c:pt idx="0">
                <c:v>11</c:v>
              </c:pt>
              <c:pt idx="1">
                <c:v>9</c:v>
              </c:pt>
              <c:pt idx="2">
                <c:v>12</c:v>
              </c:pt>
              <c:pt idx="3">
                <c:v>4</c:v>
              </c:pt>
              <c:pt idx="4">
                <c:v>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F87-4FBC-B756-772775052CE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34462144"/>
        <c:axId val="1034455904"/>
      </c:lineChart>
      <c:catAx>
        <c:axId val="103446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455904"/>
        <c:crosses val="autoZero"/>
        <c:auto val="1"/>
        <c:lblAlgn val="ctr"/>
        <c:lblOffset val="100"/>
        <c:noMultiLvlLbl val="0"/>
      </c:catAx>
      <c:valAx>
        <c:axId val="10344559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46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Return/Customer</a:t>
            </a:r>
          </a:p>
        </c:rich>
      </c:tx>
      <c:layout>
        <c:manualLayout>
          <c:xMode val="edge"/>
          <c:yMode val="edge"/>
          <c:x val="0.35338078067344386"/>
          <c:y val="4.30865571151432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7"/>
              <c:pt idx="0">
                <c:v>spiro Mica</c:v>
              </c:pt>
              <c:pt idx="1">
                <c:v>KOOPERASIE KAREEDOUW</c:v>
              </c:pt>
              <c:pt idx="2">
                <c:v>BEX Stellenbosch</c:v>
              </c:pt>
              <c:pt idx="3">
                <c:v>Tussen Brak Hardware</c:v>
              </c:pt>
              <c:pt idx="4">
                <c:v>FH Chamberlains Silverlakes</c:v>
              </c:pt>
              <c:pt idx="5">
                <c:v>Obaro Pretoria Wonderboom </c:v>
              </c:pt>
              <c:pt idx="6">
                <c:v>Brights Langebaan </c:v>
              </c:pt>
              <c:pt idx="7">
                <c:v>FH CHAMBERLAIN KYALAMI</c:v>
              </c:pt>
              <c:pt idx="8">
                <c:v>C Flynn mower and tool</c:v>
              </c:pt>
              <c:pt idx="9">
                <c:v>Coastal Farmers Umzinto</c:v>
              </c:pt>
              <c:pt idx="10">
                <c:v>Build It Sedgefield</c:v>
              </c:pt>
              <c:pt idx="11">
                <c:v>FH CHAMBERLAINS MONTANA</c:v>
              </c:pt>
              <c:pt idx="12">
                <c:v>Frank's Hardware </c:v>
              </c:pt>
              <c:pt idx="13">
                <c:v>AMPER ALLES MICA SILVERLAKES</c:v>
              </c:pt>
              <c:pt idx="14">
                <c:v>Bwh Centurion </c:v>
              </c:pt>
              <c:pt idx="15">
                <c:v>AFGRI RETAIL BALFOUR</c:v>
              </c:pt>
              <c:pt idx="16">
                <c:v>NWK PETIT </c:v>
              </c:pt>
              <c:pt idx="17">
                <c:v>OVK Somerset East</c:v>
              </c:pt>
              <c:pt idx="18">
                <c:v>NWK RANDFONTEIN </c:v>
              </c:pt>
              <c:pt idx="19">
                <c:v>Nwk Zeerust</c:v>
              </c:pt>
              <c:pt idx="20">
                <c:v>Nwk Econobuild Mafikeng</c:v>
              </c:pt>
              <c:pt idx="21">
                <c:v>Nwk Biesiesvlei</c:v>
              </c:pt>
              <c:pt idx="22">
                <c:v>Obaro Rustenburg</c:v>
              </c:pt>
              <c:pt idx="23">
                <c:v>Nwk Sannieshof</c:v>
              </c:pt>
              <c:pt idx="24">
                <c:v>buildit montagu</c:v>
              </c:pt>
              <c:pt idx="25">
                <c:v>MAREE RIVERSIDE MICA</c:v>
              </c:pt>
              <c:pt idx="26">
                <c:v>Builders Warehouse Boksburg </c:v>
              </c:pt>
              <c:pt idx="27">
                <c:v>Nwk Retail Lichtenburg</c:v>
              </c:pt>
              <c:pt idx="28">
                <c:v>Lifestyle Mica</c:v>
              </c:pt>
              <c:pt idx="29">
                <c:v>Build It Njhakanjhaka</c:v>
              </c:pt>
              <c:pt idx="30">
                <c:v>Vermeulens Build It Kimberley</c:v>
              </c:pt>
              <c:pt idx="31">
                <c:v>Tugela Hardware </c:v>
              </c:pt>
              <c:pt idx="32">
                <c:v>MEGA HARDWARE MIDDELBURG</c:v>
              </c:pt>
              <c:pt idx="33">
                <c:v>Three Rivers mica</c:v>
              </c:pt>
              <c:pt idx="34">
                <c:v>Hinterland Hartbeesfontein</c:v>
              </c:pt>
              <c:pt idx="35">
                <c:v>Handi In Bloemfontein</c:v>
              </c:pt>
              <c:pt idx="36">
                <c:v>(blank)</c:v>
              </c:pt>
            </c:strLit>
          </c:cat>
          <c:val>
            <c:numLit>
              <c:formatCode>General</c:formatCode>
              <c:ptCount val="37"/>
              <c:pt idx="0">
                <c:v>3</c:v>
              </c:pt>
              <c:pt idx="1">
                <c:v>3</c:v>
              </c:pt>
              <c:pt idx="2">
                <c:v>3</c:v>
              </c:pt>
              <c:pt idx="3">
                <c:v>2</c:v>
              </c:pt>
              <c:pt idx="4">
                <c:v>2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95F-42C3-AF17-6AE588C0A3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0897376"/>
        <c:axId val="1130891552"/>
      </c:barChart>
      <c:catAx>
        <c:axId val="113089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891552"/>
        <c:crosses val="autoZero"/>
        <c:auto val="1"/>
        <c:lblAlgn val="ctr"/>
        <c:lblOffset val="100"/>
        <c:noMultiLvlLbl val="0"/>
      </c:catAx>
      <c:valAx>
        <c:axId val="1130891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89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YTD TOP 5 HAMMER SCRAP/QTY</a:t>
            </a:r>
          </a:p>
        </c:rich>
      </c:tx>
      <c:layout>
        <c:manualLayout>
          <c:xMode val="edge"/>
          <c:yMode val="edge"/>
          <c:x val="0.1499749373433584"/>
          <c:y val="5.18606007582385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DB5B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DB5B5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250864E2-C9C4-47B2-8F9E-A775BEEE0C42}" type="VALUE">
                  <a:rPr lang="en-US" baseline="0"/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Z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DB5B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387195021674928"/>
          <c:y val="0.20011599244829442"/>
          <c:w val="0.60214946815858539"/>
          <c:h val="0.64740735008564843"/>
        </c:manualLayout>
      </c:layout>
      <c:barChart>
        <c:barDir val="bar"/>
        <c:grouping val="stacked"/>
        <c:varyColors val="0"/>
        <c:ser>
          <c:idx val="0"/>
          <c:order val="0"/>
          <c:tx>
            <c:v>BAD.FRG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Ham Claw 700g S/C Poly Handle</c:v>
              </c:pt>
              <c:pt idx="1">
                <c:v>Axe 0.9kg P/Handle yellow</c:v>
              </c:pt>
              <c:pt idx="2">
                <c:v>Ham Club 1.8kg S/C Soft Grip</c:v>
              </c:pt>
              <c:pt idx="3">
                <c:v>Ham Claw 500g Poly</c:v>
              </c:pt>
              <c:pt idx="4">
                <c:v>Ham Drill 1.8kg P/Handle Black</c:v>
              </c:pt>
            </c:strLit>
          </c:cat>
          <c:val>
            <c:numLit>
              <c:formatCode>General</c:formatCode>
              <c:ptCount val="5"/>
              <c:pt idx="0">
                <c:v>13</c:v>
              </c:pt>
              <c:pt idx="1">
                <c:v>18</c:v>
              </c:pt>
              <c:pt idx="2">
                <c:v>6</c:v>
              </c:pt>
              <c:pt idx="3">
                <c:v>20</c:v>
              </c:pt>
              <c:pt idx="4">
                <c:v>40</c:v>
              </c:pt>
            </c:numLit>
          </c:val>
          <c:extLst>
            <c:ext xmlns:c16="http://schemas.microsoft.com/office/drawing/2014/chart" uri="{C3380CC4-5D6E-409C-BE32-E72D297353CC}">
              <c16:uniqueId val="{00000000-9E66-47C6-98C7-700BCC4A6D57}"/>
            </c:ext>
          </c:extLst>
        </c:ser>
        <c:ser>
          <c:idx val="1"/>
          <c:order val="1"/>
          <c:tx>
            <c:v>BAD.SCAL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E66-47C6-98C7-700BCC4A6D5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E66-47C6-98C7-700BCC4A6D5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E66-47C6-98C7-700BCC4A6D5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E66-47C6-98C7-700BCC4A6D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Ham Claw 700g S/C Poly Handle</c:v>
              </c:pt>
              <c:pt idx="1">
                <c:v>Axe 0.9kg P/Handle yellow</c:v>
              </c:pt>
              <c:pt idx="2">
                <c:v>Ham Club 1.8kg S/C Soft Grip</c:v>
              </c:pt>
              <c:pt idx="3">
                <c:v>Ham Claw 500g Poly</c:v>
              </c:pt>
              <c:pt idx="4">
                <c:v>Ham Drill 1.8kg P/Handle Black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13</c:v>
              </c:pt>
            </c:numLit>
          </c:val>
          <c:extLst>
            <c:ext xmlns:c16="http://schemas.microsoft.com/office/drawing/2014/chart" uri="{C3380CC4-5D6E-409C-BE32-E72D297353CC}">
              <c16:uniqueId val="{00000001-9E66-47C6-98C7-700BCC4A6D57}"/>
            </c:ext>
          </c:extLst>
        </c:ser>
        <c:ser>
          <c:idx val="2"/>
          <c:order val="2"/>
          <c:tx>
            <c:v>CLW END.SHRT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0063360196820975E-2"/>
                  <c:y val="5.341204109278414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E66-47C6-98C7-700BCC4A6D5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E66-47C6-98C7-700BCC4A6D5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E66-47C6-98C7-700BCC4A6D5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E66-47C6-98C7-700BCC4A6D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Ham Claw 700g S/C Poly Handle</c:v>
              </c:pt>
              <c:pt idx="1">
                <c:v>Axe 0.9kg P/Handle yellow</c:v>
              </c:pt>
              <c:pt idx="2">
                <c:v>Ham Club 1.8kg S/C Soft Grip</c:v>
              </c:pt>
              <c:pt idx="3">
                <c:v>Ham Claw 500g Poly</c:v>
              </c:pt>
              <c:pt idx="4">
                <c:v>Ham Drill 1.8kg P/Handle Black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0</c:v>
              </c:pt>
              <c:pt idx="2">
                <c:v>0</c:v>
              </c:pt>
              <c:pt idx="3">
                <c:v>6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9E66-47C6-98C7-700BCC4A6D57}"/>
            </c:ext>
          </c:extLst>
        </c:ser>
        <c:ser>
          <c:idx val="3"/>
          <c:order val="3"/>
          <c:tx>
            <c:v>DAM.EYE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E66-47C6-98C7-700BCC4A6D5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E66-47C6-98C7-700BCC4A6D5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E66-47C6-98C7-700BCC4A6D5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E66-47C6-98C7-700BCC4A6D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Ham Claw 700g S/C Poly Handle</c:v>
              </c:pt>
              <c:pt idx="1">
                <c:v>Axe 0.9kg P/Handle yellow</c:v>
              </c:pt>
              <c:pt idx="2">
                <c:v>Ham Club 1.8kg S/C Soft Grip</c:v>
              </c:pt>
              <c:pt idx="3">
                <c:v>Ham Claw 500g Poly</c:v>
              </c:pt>
              <c:pt idx="4">
                <c:v>Ham Drill 1.8kg P/Handle Black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14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9E66-47C6-98C7-700BCC4A6D57}"/>
            </c:ext>
          </c:extLst>
        </c:ser>
        <c:ser>
          <c:idx val="4"/>
          <c:order val="4"/>
          <c:tx>
            <c:v>MOULDING PROBLEM</c:v>
          </c:tx>
          <c:spPr>
            <a:solidFill>
              <a:srgbClr val="FDB5B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9E66-47C6-98C7-700BCC4A6D57}"/>
              </c:ext>
            </c:extLst>
          </c:dPt>
          <c:dLbls>
            <c:delete val="1"/>
          </c:dLbls>
          <c:cat>
            <c:strLit>
              <c:ptCount val="5"/>
              <c:pt idx="0">
                <c:v>Ham Claw 700g S/C Poly Handle</c:v>
              </c:pt>
              <c:pt idx="1">
                <c:v>Axe 0.9kg P/Handle yellow</c:v>
              </c:pt>
              <c:pt idx="2">
                <c:v>Ham Club 1.8kg S/C Soft Grip</c:v>
              </c:pt>
              <c:pt idx="3">
                <c:v>Ham Claw 500g Poly</c:v>
              </c:pt>
              <c:pt idx="4">
                <c:v>Ham Drill 1.8kg P/Handle Black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9E66-47C6-98C7-700BCC4A6D5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386469216"/>
        <c:axId val="386471296"/>
      </c:barChart>
      <c:catAx>
        <c:axId val="38646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71296"/>
        <c:crosses val="autoZero"/>
        <c:auto val="1"/>
        <c:lblAlgn val="ctr"/>
        <c:lblOffset val="100"/>
        <c:noMultiLvlLbl val="0"/>
      </c:catAx>
      <c:valAx>
        <c:axId val="38647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6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567849966087124"/>
          <c:y val="0.42749778045632386"/>
          <c:w val="0.29640902714293538"/>
          <c:h val="0.42266378045380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TOP 5 HANDLE SCRAP/QTY</a:t>
            </a:r>
          </a:p>
        </c:rich>
      </c:tx>
      <c:layout>
        <c:manualLayout>
          <c:xMode val="edge"/>
          <c:yMode val="edge"/>
          <c:x val="0.2386297927122735"/>
          <c:y val="2.66317449126635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DB5B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DB5B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469108185484282"/>
          <c:y val="0.2210789122015287"/>
          <c:w val="0.67021599309565405"/>
          <c:h val="0.57540042424497528"/>
        </c:manualLayout>
      </c:layout>
      <c:barChart>
        <c:barDir val="bar"/>
        <c:grouping val="stacked"/>
        <c:varyColors val="0"/>
        <c:ser>
          <c:idx val="0"/>
          <c:order val="0"/>
          <c:tx>
            <c:v>BRKN</c:v>
          </c:tx>
          <c:spPr>
            <a:solidFill>
              <a:sysClr val="window" lastClr="FFFFFF">
                <a:lumMod val="65000"/>
              </a:sys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01-4189-BA4C-089BB079BFF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101-4189-BA4C-089BB079BFF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101-4189-BA4C-089BB079BFF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101-4189-BA4C-089BB079BFF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101-4189-BA4C-089BB079BF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HDL  Drill 1.8 kg CB Poly Black</c:v>
              </c:pt>
              <c:pt idx="1">
                <c:v>Hd Slasher </c:v>
              </c:pt>
              <c:pt idx="2">
                <c:v>HDL Axe 900g Poly N/C Yellow </c:v>
              </c:pt>
              <c:pt idx="3">
                <c:v>HDL Axe 1.8kg Poly S/C Yellow</c:v>
              </c:pt>
              <c:pt idx="4">
                <c:v>Hdl 1.1 Club Wood 250mm</c:v>
              </c:pt>
              <c:pt idx="5">
                <c:v>Hdl Rake Steel Plastic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100</c:v>
              </c:pt>
            </c:numLit>
          </c:val>
          <c:extLst>
            <c:ext xmlns:c16="http://schemas.microsoft.com/office/drawing/2014/chart" uri="{C3380CC4-5D6E-409C-BE32-E72D297353CC}">
              <c16:uniqueId val="{00000000-5101-4189-BA4C-089BB079BFF9}"/>
            </c:ext>
          </c:extLst>
        </c:ser>
        <c:ser>
          <c:idx val="1"/>
          <c:order val="1"/>
          <c:tx>
            <c:v>PLSTC.MOULD.DEFECT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101-4189-BA4C-089BB079BFF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101-4189-BA4C-089BB079BFF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101-4189-BA4C-089BB079BFF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101-4189-BA4C-089BB079BF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HDL  Drill 1.8 kg CB Poly Black</c:v>
              </c:pt>
              <c:pt idx="1">
                <c:v>Hd Slasher </c:v>
              </c:pt>
              <c:pt idx="2">
                <c:v>HDL Axe 900g Poly N/C Yellow </c:v>
              </c:pt>
              <c:pt idx="3">
                <c:v>HDL Axe 1.8kg Poly S/C Yellow</c:v>
              </c:pt>
              <c:pt idx="4">
                <c:v>Hdl 1.1 Club Wood 250mm</c:v>
              </c:pt>
              <c:pt idx="5">
                <c:v>Hdl Rake Steel Plastic</c:v>
              </c:pt>
            </c:strLit>
          </c:cat>
          <c:val>
            <c:numLit>
              <c:formatCode>General</c:formatCode>
              <c:ptCount val="6"/>
              <c:pt idx="0">
                <c:v>1</c:v>
              </c:pt>
              <c:pt idx="1">
                <c:v>0</c:v>
              </c:pt>
              <c:pt idx="2">
                <c:v>10</c:v>
              </c:pt>
              <c:pt idx="3">
                <c:v>18</c:v>
              </c:pt>
              <c:pt idx="4">
                <c:v>0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101-4189-BA4C-089BB079BFF9}"/>
            </c:ext>
          </c:extLst>
        </c:ser>
        <c:ser>
          <c:idx val="2"/>
          <c:order val="2"/>
          <c:tx>
            <c:v>CRACK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101-4189-BA4C-089BB079BFF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101-4189-BA4C-089BB079BFF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101-4189-BA4C-089BB079BFF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101-4189-BA4C-089BB079BFF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101-4189-BA4C-089BB079BF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HDL  Drill 1.8 kg CB Poly Black</c:v>
              </c:pt>
              <c:pt idx="1">
                <c:v>Hd Slasher </c:v>
              </c:pt>
              <c:pt idx="2">
                <c:v>HDL Axe 900g Poly N/C Yellow </c:v>
              </c:pt>
              <c:pt idx="3">
                <c:v>HDL Axe 1.8kg Poly S/C Yellow</c:v>
              </c:pt>
              <c:pt idx="4">
                <c:v>Hdl 1.1 Club Wood 250mm</c:v>
              </c:pt>
              <c:pt idx="5">
                <c:v>Hdl Rake Steel Plastic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19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5101-4189-BA4C-089BB079BFF9}"/>
            </c:ext>
          </c:extLst>
        </c:ser>
        <c:ser>
          <c:idx val="3"/>
          <c:order val="3"/>
          <c:tx>
            <c:v>POOR ASSMBLY</c:v>
          </c:tx>
          <c:spPr>
            <a:solidFill>
              <a:srgbClr val="FDB5B5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101-4189-BA4C-089BB079BFF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01-4189-BA4C-089BB079BFF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101-4189-BA4C-089BB079BFF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101-4189-BA4C-089BB079BF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HDL  Drill 1.8 kg CB Poly Black</c:v>
              </c:pt>
              <c:pt idx="1">
                <c:v>Hd Slasher </c:v>
              </c:pt>
              <c:pt idx="2">
                <c:v>HDL Axe 900g Poly N/C Yellow </c:v>
              </c:pt>
              <c:pt idx="3">
                <c:v>HDL Axe 1.8kg Poly S/C Yellow</c:v>
              </c:pt>
              <c:pt idx="4">
                <c:v>Hdl 1.1 Club Wood 250mm</c:v>
              </c:pt>
              <c:pt idx="5">
                <c:v>Hdl Rake Steel Plastic</c:v>
              </c:pt>
            </c:strLit>
          </c:cat>
          <c:val>
            <c:numLit>
              <c:formatCode>General</c:formatCode>
              <c:ptCount val="6"/>
              <c:pt idx="0">
                <c:v>8</c:v>
              </c:pt>
              <c:pt idx="1">
                <c:v>9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5101-4189-BA4C-089BB079BFF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386469216"/>
        <c:axId val="386471296"/>
      </c:barChart>
      <c:catAx>
        <c:axId val="38646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71296"/>
        <c:crosses val="autoZero"/>
        <c:auto val="1"/>
        <c:lblAlgn val="ctr"/>
        <c:lblOffset val="100"/>
        <c:noMultiLvlLbl val="0"/>
      </c:catAx>
      <c:valAx>
        <c:axId val="38647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6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377336157332658"/>
          <c:y val="0.49557226098540635"/>
          <c:w val="0.40987266294095243"/>
          <c:h val="0.329625408925310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TOP 5 HAMMER SCRAP/VALUE</a:t>
            </a:r>
          </a:p>
        </c:rich>
      </c:tx>
      <c:layout>
        <c:manualLayout>
          <c:xMode val="edge"/>
          <c:yMode val="edge"/>
          <c:x val="0.21198139150517825"/>
          <c:y val="4.1969915099072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0178504600478941E-2"/>
              <c:y val="-3.6160014284101039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862631193890362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1043853231506238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06231425783846"/>
          <c:y val="0.20218948522711105"/>
          <c:w val="0.67864601510163525"/>
          <c:h val="0.69750373660510245"/>
        </c:manualLayout>
      </c:layout>
      <c:barChart>
        <c:barDir val="bar"/>
        <c:grouping val="stacked"/>
        <c:varyColors val="0"/>
        <c:ser>
          <c:idx val="0"/>
          <c:order val="0"/>
          <c:tx>
            <c:v>BAD.FRG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3.0213932085530571E-2"/>
                  <c:y val="5.133109201037615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515-4224-A03D-B4453538474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515-4224-A03D-B44535384744}"/>
                </c:ext>
              </c:extLst>
            </c:dLbl>
            <c:numFmt formatCode="&quot;R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Ham Claw 500g Poly</c:v>
              </c:pt>
              <c:pt idx="1">
                <c:v>Ham Club 1.8kg S/C Soft Grip</c:v>
              </c:pt>
              <c:pt idx="2">
                <c:v>Ham Spalling 6.3kg P/Handle Black CCL</c:v>
              </c:pt>
              <c:pt idx="3">
                <c:v>Axe 0.9kg P/Handle yellow</c:v>
              </c:pt>
              <c:pt idx="4">
                <c:v>Ham Drill 1.8kg P/Handle Black</c:v>
              </c:pt>
            </c:strLit>
          </c:cat>
          <c:val>
            <c:numLit>
              <c:formatCode>General</c:formatCode>
              <c:ptCount val="5"/>
              <c:pt idx="0">
                <c:v>1446.2</c:v>
              </c:pt>
              <c:pt idx="1">
                <c:v>510</c:v>
              </c:pt>
              <c:pt idx="2">
                <c:v>0</c:v>
              </c:pt>
              <c:pt idx="3">
                <c:v>1951.02</c:v>
              </c:pt>
              <c:pt idx="4">
                <c:v>4573.2</c:v>
              </c:pt>
            </c:numLit>
          </c:val>
          <c:extLst>
            <c:ext xmlns:c16="http://schemas.microsoft.com/office/drawing/2014/chart" uri="{C3380CC4-5D6E-409C-BE32-E72D297353CC}">
              <c16:uniqueId val="{00000000-5515-4224-A03D-B44535384744}"/>
            </c:ext>
          </c:extLst>
        </c:ser>
        <c:ser>
          <c:idx val="1"/>
          <c:order val="1"/>
          <c:tx>
            <c:v>CRACKSF/fault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515-4224-A03D-B4453538474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515-4224-A03D-B4453538474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515-4224-A03D-B44535384744}"/>
                </c:ext>
              </c:extLst>
            </c:dLbl>
            <c:dLbl>
              <c:idx val="2"/>
              <c:layout>
                <c:manualLayout>
                  <c:x val="1.0071310695176786E-2"/>
                  <c:y val="-9.4105914899463657E-17"/>
                </c:manualLayout>
              </c:layout>
              <c:numFmt formatCode="&quot;R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515-4224-A03D-B4453538474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515-4224-A03D-B4453538474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15-4224-A03D-B445353847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Ham Claw 500g Poly</c:v>
              </c:pt>
              <c:pt idx="1">
                <c:v>Ham Club 1.8kg S/C Soft Grip</c:v>
              </c:pt>
              <c:pt idx="2">
                <c:v>Ham Spalling 6.3kg P/Handle Black CCL</c:v>
              </c:pt>
              <c:pt idx="3">
                <c:v>Axe 0.9kg P/Handle yellow</c:v>
              </c:pt>
              <c:pt idx="4">
                <c:v>Ham Drill 1.8kg P/Handle Black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1794.95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5515-4224-A03D-B44535384744}"/>
            </c:ext>
          </c:extLst>
        </c:ser>
        <c:ser>
          <c:idx val="2"/>
          <c:order val="2"/>
          <c:tx>
            <c:v>BAD.SCAL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515-4224-A03D-B44535384744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5515-4224-A03D-B4453538474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515-4224-A03D-B4453538474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515-4224-A03D-B4453538474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15-4224-A03D-B4453538474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515-4224-A03D-B44535384744}"/>
                </c:ext>
              </c:extLst>
            </c:dLbl>
            <c:dLbl>
              <c:idx val="4"/>
              <c:layout>
                <c:manualLayout>
                  <c:x val="1.3428414260235796E-2"/>
                  <c:y val="-5.133109201037615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15-4224-A03D-B44535384744}"/>
                </c:ext>
              </c:extLst>
            </c:dLbl>
            <c:numFmt formatCode="&quot;R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Ham Claw 500g Poly</c:v>
              </c:pt>
              <c:pt idx="1">
                <c:v>Ham Club 1.8kg S/C Soft Grip</c:v>
              </c:pt>
              <c:pt idx="2">
                <c:v>Ham Spalling 6.3kg P/Handle Black CCL</c:v>
              </c:pt>
              <c:pt idx="3">
                <c:v>Axe 0.9kg P/Handle yellow</c:v>
              </c:pt>
              <c:pt idx="4">
                <c:v>Ham Drill 1.8kg P/Handle Black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1486.29</c:v>
              </c:pt>
            </c:numLit>
          </c:val>
          <c:extLst>
            <c:ext xmlns:c16="http://schemas.microsoft.com/office/drawing/2014/chart" uri="{C3380CC4-5D6E-409C-BE32-E72D297353CC}">
              <c16:uniqueId val="{00000005-5515-4224-A03D-B44535384744}"/>
            </c:ext>
          </c:extLst>
        </c:ser>
        <c:ser>
          <c:idx val="3"/>
          <c:order val="3"/>
          <c:tx>
            <c:v>DAM.EYE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515-4224-A03D-B44535384744}"/>
                </c:ext>
              </c:extLst>
            </c:dLbl>
            <c:dLbl>
              <c:idx val="1"/>
              <c:layout>
                <c:manualLayout>
                  <c:x val="0.10407021051682736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515-4224-A03D-B4453538474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515-4224-A03D-B4453538474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15-4224-A03D-B4453538474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515-4224-A03D-B44535384744}"/>
                </c:ext>
              </c:extLst>
            </c:dLbl>
            <c:numFmt formatCode="&quot;R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Ham Claw 500g Poly</c:v>
              </c:pt>
              <c:pt idx="1">
                <c:v>Ham Club 1.8kg S/C Soft Grip</c:v>
              </c:pt>
              <c:pt idx="2">
                <c:v>Ham Spalling 6.3kg P/Handle Black CCL</c:v>
              </c:pt>
              <c:pt idx="3">
                <c:v>Axe 0.9kg P/Handle yellow</c:v>
              </c:pt>
              <c:pt idx="4">
                <c:v>Ham Drill 1.8kg P/Handle Black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1190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5515-4224-A03D-B4453538474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386469216"/>
        <c:axId val="386471296"/>
      </c:barChart>
      <c:catAx>
        <c:axId val="38646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71296"/>
        <c:crosses val="autoZero"/>
        <c:auto val="1"/>
        <c:lblAlgn val="ctr"/>
        <c:lblOffset val="100"/>
        <c:noMultiLvlLbl val="0"/>
      </c:catAx>
      <c:valAx>
        <c:axId val="38647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69216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5807456131892"/>
          <c:y val="0.49281906383846869"/>
          <c:w val="0.36139384590266233"/>
          <c:h val="0.338253312937240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TOP 5 IRON TOOL SCRAP/Value</a:t>
            </a:r>
          </a:p>
        </c:rich>
      </c:tx>
      <c:layout>
        <c:manualLayout>
          <c:xMode val="edge"/>
          <c:yMode val="edge"/>
          <c:x val="0.14057684167239368"/>
          <c:y val="3.6321026785680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26905278148244"/>
          <c:y val="0.21581932285518851"/>
          <c:w val="0.64668690105537052"/>
          <c:h val="0.63351170537820067"/>
        </c:manualLayout>
      </c:layout>
      <c:barChart>
        <c:barDir val="bar"/>
        <c:grouping val="stacked"/>
        <c:varyColors val="0"/>
        <c:ser>
          <c:idx val="0"/>
          <c:order val="0"/>
          <c:tx>
            <c:v>BAD.FRG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26E-4659-B7EA-37172D173ABA}"/>
                </c:ext>
              </c:extLst>
            </c:dLbl>
            <c:dLbl>
              <c:idx val="2"/>
              <c:layout>
                <c:manualLayout>
                  <c:x val="1.4964384470385984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26E-4659-B7EA-37172D173ABA}"/>
                </c:ext>
              </c:extLst>
            </c:dLbl>
            <c:dLbl>
              <c:idx val="3"/>
              <c:layout>
                <c:manualLayout>
                  <c:x val="4.1152057293561459E-2"/>
                  <c:y val="-4.458611295765980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26E-4659-B7EA-37172D173ABA}"/>
                </c:ext>
              </c:extLst>
            </c:dLbl>
            <c:numFmt formatCode="&quot;R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Bolst  Electrician 55mm </c:v>
              </c:pt>
              <c:pt idx="1">
                <c:v>Bar Crow 25x1800</c:v>
              </c:pt>
              <c:pt idx="2">
                <c:v>Chisel Flat Cold 25x350</c:v>
              </c:pt>
              <c:pt idx="3">
                <c:v>Bar Tommy 20x600mm</c:v>
              </c:pt>
              <c:pt idx="4">
                <c:v>Bolster 100mm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565.68000000000006</c:v>
              </c:pt>
              <c:pt idx="2">
                <c:v>313.46000000000004</c:v>
              </c:pt>
              <c:pt idx="3">
                <c:v>53.57</c:v>
              </c:pt>
              <c:pt idx="4">
                <c:v>1034.25</c:v>
              </c:pt>
            </c:numLit>
          </c:val>
          <c:extLst>
            <c:ext xmlns:c16="http://schemas.microsoft.com/office/drawing/2014/chart" uri="{C3380CC4-5D6E-409C-BE32-E72D297353CC}">
              <c16:uniqueId val="{00000000-A26E-4659-B7EA-37172D173ABA}"/>
            </c:ext>
          </c:extLst>
        </c:ser>
        <c:ser>
          <c:idx val="1"/>
          <c:order val="1"/>
          <c:tx>
            <c:v>WL.DAM</c:v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2446576705578977E-2"/>
                  <c:y val="-8.9172225915319606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26E-4659-B7EA-37172D173AB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26E-4659-B7EA-37172D173ABA}"/>
                </c:ext>
              </c:extLst>
            </c:dLbl>
            <c:dLbl>
              <c:idx val="2"/>
              <c:layout>
                <c:manualLayout>
                  <c:x val="8.2304114587122917E-2"/>
                  <c:y val="-6.809594097636864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26E-4659-B7EA-37172D173ABA}"/>
                </c:ext>
              </c:extLst>
            </c:dLbl>
            <c:dLbl>
              <c:idx val="3"/>
              <c:layout>
                <c:manualLayout>
                  <c:x val="0.14216165246866677"/>
                  <c:y val="-4.458611295765980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26E-4659-B7EA-37172D173ABA}"/>
                </c:ext>
              </c:extLst>
            </c:dLbl>
            <c:numFmt formatCode="&quot;R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Bolst  Electrician 55mm </c:v>
              </c:pt>
              <c:pt idx="1">
                <c:v>Bar Crow 25x1800</c:v>
              </c:pt>
              <c:pt idx="2">
                <c:v>Chisel Flat Cold 25x350</c:v>
              </c:pt>
              <c:pt idx="3">
                <c:v>Bar Tommy 20x600mm</c:v>
              </c:pt>
              <c:pt idx="4">
                <c:v>Bolster 100mm</c:v>
              </c:pt>
            </c:strLit>
          </c:cat>
          <c:val>
            <c:numLit>
              <c:formatCode>General</c:formatCode>
              <c:ptCount val="5"/>
              <c:pt idx="0">
                <c:v>355.52</c:v>
              </c:pt>
              <c:pt idx="1">
                <c:v>0</c:v>
              </c:pt>
              <c:pt idx="2">
                <c:v>44.78</c:v>
              </c:pt>
              <c:pt idx="3">
                <c:v>803.55</c:v>
              </c:pt>
              <c:pt idx="4">
                <c:v>689.5</c:v>
              </c:pt>
            </c:numLit>
          </c:val>
          <c:extLst>
            <c:ext xmlns:c16="http://schemas.microsoft.com/office/drawing/2014/chart" uri="{C3380CC4-5D6E-409C-BE32-E72D297353CC}">
              <c16:uniqueId val="{00000001-A26E-4659-B7EA-37172D173ABA}"/>
            </c:ext>
          </c:extLst>
        </c:ser>
        <c:ser>
          <c:idx val="2"/>
          <c:order val="2"/>
          <c:tx>
            <c:v>BRKN.TIP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26E-4659-B7EA-37172D173AB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26E-4659-B7EA-37172D173ABA}"/>
                </c:ext>
              </c:extLst>
            </c:dLbl>
            <c:dLbl>
              <c:idx val="2"/>
              <c:layout>
                <c:manualLayout>
                  <c:x val="8.2304114587122848E-2"/>
                  <c:y val="8.268792832844763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26E-4659-B7EA-37172D173AB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26E-4659-B7EA-37172D173AB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26E-4659-B7EA-37172D173ABA}"/>
                </c:ext>
              </c:extLst>
            </c:dLbl>
            <c:numFmt formatCode="&quot;R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Bolst  Electrician 55mm </c:v>
              </c:pt>
              <c:pt idx="1">
                <c:v>Bar Crow 25x1800</c:v>
              </c:pt>
              <c:pt idx="2">
                <c:v>Chisel Flat Cold 25x350</c:v>
              </c:pt>
              <c:pt idx="3">
                <c:v>Bar Tommy 20x600mm</c:v>
              </c:pt>
              <c:pt idx="4">
                <c:v>Bolster 100mm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179.12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A26E-4659-B7EA-37172D173ABA}"/>
            </c:ext>
          </c:extLst>
        </c:ser>
        <c:ser>
          <c:idx val="3"/>
          <c:order val="3"/>
          <c:tx>
            <c:v>BENT/ OFFSET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26E-4659-B7EA-37172D173AB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26E-4659-B7EA-37172D173ABA}"/>
                </c:ext>
              </c:extLst>
            </c:dLbl>
            <c:dLbl>
              <c:idx val="2"/>
              <c:layout>
                <c:manualLayout>
                  <c:x val="0.13842055635107028"/>
                  <c:y val="4.8639957840263311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26E-4659-B7EA-37172D173AB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26E-4659-B7EA-37172D173AB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26E-4659-B7EA-37172D173ABA}"/>
                </c:ext>
              </c:extLst>
            </c:dLbl>
            <c:numFmt formatCode="&quot;R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Bolst  Electrician 55mm </c:v>
              </c:pt>
              <c:pt idx="1">
                <c:v>Bar Crow 25x1800</c:v>
              </c:pt>
              <c:pt idx="2">
                <c:v>Chisel Flat Cold 25x350</c:v>
              </c:pt>
              <c:pt idx="3">
                <c:v>Bar Tommy 20x600mm</c:v>
              </c:pt>
              <c:pt idx="4">
                <c:v>Bolster 100mm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134.34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A26E-4659-B7EA-37172D173AB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386469216"/>
        <c:axId val="386471296"/>
      </c:barChart>
      <c:catAx>
        <c:axId val="38646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71296"/>
        <c:crosses val="autoZero"/>
        <c:auto val="1"/>
        <c:lblAlgn val="ctr"/>
        <c:lblOffset val="100"/>
        <c:noMultiLvlLbl val="0"/>
      </c:catAx>
      <c:valAx>
        <c:axId val="38647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6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450959975193384"/>
          <c:y val="0.52998819227980121"/>
          <c:w val="0.26053419610709366"/>
          <c:h val="0.288583992963940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TOP 5 IRON TOOL SCRAP/QTY</a:t>
            </a:r>
          </a:p>
        </c:rich>
      </c:tx>
      <c:layout>
        <c:manualLayout>
          <c:xMode val="edge"/>
          <c:yMode val="edge"/>
          <c:x val="0.21491256717125229"/>
          <c:y val="3.011103259785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255389994294817"/>
          <c:y val="0.20378108514513435"/>
          <c:w val="0.62807670882570665"/>
          <c:h val="0.64072784689723383"/>
        </c:manualLayout>
      </c:layout>
      <c:barChart>
        <c:barDir val="bar"/>
        <c:grouping val="stacked"/>
        <c:varyColors val="0"/>
        <c:ser>
          <c:idx val="0"/>
          <c:order val="0"/>
          <c:tx>
            <c:v>WL.DAM</c:v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Chisel Flat Cold 25x350</c:v>
              </c:pt>
              <c:pt idx="1">
                <c:v>Bar Tommy 20x600mm</c:v>
              </c:pt>
              <c:pt idx="2">
                <c:v>Bolst  Electrician 55mm </c:v>
              </c:pt>
              <c:pt idx="3">
                <c:v>Bolster 100mm</c:v>
              </c:pt>
              <c:pt idx="4">
                <c:v>Chisel Flat Cold 25x300</c:v>
              </c:pt>
            </c:strLit>
          </c:cat>
          <c:val>
            <c:numLit>
              <c:formatCode>General</c:formatCode>
              <c:ptCount val="5"/>
              <c:pt idx="0">
                <c:v>4</c:v>
              </c:pt>
              <c:pt idx="1">
                <c:v>15</c:v>
              </c:pt>
              <c:pt idx="2">
                <c:v>21</c:v>
              </c:pt>
              <c:pt idx="3">
                <c:v>22</c:v>
              </c:pt>
              <c:pt idx="4">
                <c:v>51</c:v>
              </c:pt>
            </c:numLit>
          </c:val>
          <c:extLst>
            <c:ext xmlns:c16="http://schemas.microsoft.com/office/drawing/2014/chart" uri="{C3380CC4-5D6E-409C-BE32-E72D297353CC}">
              <c16:uniqueId val="{00000000-AB2B-47FB-B46A-5AD48BFDC7BA}"/>
            </c:ext>
          </c:extLst>
        </c:ser>
        <c:ser>
          <c:idx val="1"/>
          <c:order val="1"/>
          <c:tx>
            <c:v>BAD.FRG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B2B-47FB-B46A-5AD48BFDC7B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B2B-47FB-B46A-5AD48BFDC7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Chisel Flat Cold 25x350</c:v>
              </c:pt>
              <c:pt idx="1">
                <c:v>Bar Tommy 20x600mm</c:v>
              </c:pt>
              <c:pt idx="2">
                <c:v>Bolst  Electrician 55mm </c:v>
              </c:pt>
              <c:pt idx="3">
                <c:v>Bolster 100mm</c:v>
              </c:pt>
              <c:pt idx="4">
                <c:v>Chisel Flat Cold 25x300</c:v>
              </c:pt>
            </c:strLit>
          </c:cat>
          <c:val>
            <c:numLit>
              <c:formatCode>General</c:formatCode>
              <c:ptCount val="5"/>
              <c:pt idx="0">
                <c:v>7</c:v>
              </c:pt>
              <c:pt idx="1">
                <c:v>1</c:v>
              </c:pt>
              <c:pt idx="2">
                <c:v>0</c:v>
              </c:pt>
              <c:pt idx="3">
                <c:v>21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B2B-47FB-B46A-5AD48BFDC7BA}"/>
            </c:ext>
          </c:extLst>
        </c:ser>
        <c:ser>
          <c:idx val="2"/>
          <c:order val="2"/>
          <c:tx>
            <c:v>BRKN.TIP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B2B-47FB-B46A-5AD48BFDC7B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B2B-47FB-B46A-5AD48BFDC7B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2B-47FB-B46A-5AD48BFDC7B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2B-47FB-B46A-5AD48BFDC7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Chisel Flat Cold 25x350</c:v>
              </c:pt>
              <c:pt idx="1">
                <c:v>Bar Tommy 20x600mm</c:v>
              </c:pt>
              <c:pt idx="2">
                <c:v>Bolst  Electrician 55mm </c:v>
              </c:pt>
              <c:pt idx="3">
                <c:v>Bolster 100mm</c:v>
              </c:pt>
              <c:pt idx="4">
                <c:v>Chisel Flat Cold 25x300</c:v>
              </c:pt>
            </c:strLit>
          </c:cat>
          <c:val>
            <c:numLit>
              <c:formatCode>General</c:formatCode>
              <c:ptCount val="5"/>
              <c:pt idx="0">
                <c:v>4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AB2B-47FB-B46A-5AD48BFDC7B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386469216"/>
        <c:axId val="386471296"/>
      </c:barChart>
      <c:catAx>
        <c:axId val="38646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71296"/>
        <c:crosses val="autoZero"/>
        <c:auto val="1"/>
        <c:lblAlgn val="ctr"/>
        <c:lblOffset val="100"/>
        <c:noMultiLvlLbl val="0"/>
      </c:catAx>
      <c:valAx>
        <c:axId val="38647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6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011443739533304"/>
          <c:y val="0.51834174511876585"/>
          <c:w val="0.31311334758507353"/>
          <c:h val="0.292102022867194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TOP 5 HANDLE SCRAP/VALUE</a:t>
            </a:r>
          </a:p>
        </c:rich>
      </c:tx>
      <c:layout>
        <c:manualLayout>
          <c:xMode val="edge"/>
          <c:yMode val="edge"/>
          <c:x val="0.22066276813973223"/>
          <c:y val="3.19485711855240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876667416526161"/>
          <c:y val="0.19821384772318307"/>
          <c:w val="0.66344440534286031"/>
          <c:h val="0.65507134752260776"/>
        </c:manualLayout>
      </c:layout>
      <c:barChart>
        <c:barDir val="bar"/>
        <c:grouping val="stacked"/>
        <c:varyColors val="0"/>
        <c:ser>
          <c:idx val="0"/>
          <c:order val="0"/>
          <c:tx>
            <c:v>PLSTC.MOULD.DEFECT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8396184180340467E-2"/>
                  <c:y val="-5.787564483494048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CA3-4606-813B-C499595F511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CA3-4606-813B-C499595F511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CA3-4606-813B-C499595F511C}"/>
                </c:ext>
              </c:extLst>
            </c:dLbl>
            <c:numFmt formatCode="&quot;R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HDL  Drill 1.8 kg CB Poly Black</c:v>
              </c:pt>
              <c:pt idx="1">
                <c:v>HDL Axe 900g Poly N/C Yellow </c:v>
              </c:pt>
              <c:pt idx="2">
                <c:v>Hd Slasher </c:v>
              </c:pt>
              <c:pt idx="3">
                <c:v>HDL Axe 1.8kg Poly S/C Yellow</c:v>
              </c:pt>
              <c:pt idx="4">
                <c:v>Hdl Rake Steel Plastic</c:v>
              </c:pt>
            </c:strLit>
          </c:cat>
          <c:val>
            <c:numLit>
              <c:formatCode>General</c:formatCode>
              <c:ptCount val="5"/>
              <c:pt idx="0">
                <c:v>15.38</c:v>
              </c:pt>
              <c:pt idx="1">
                <c:v>207.2</c:v>
              </c:pt>
              <c:pt idx="2">
                <c:v>0</c:v>
              </c:pt>
              <c:pt idx="3">
                <c:v>941.4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CA3-4606-813B-C499595F511C}"/>
            </c:ext>
          </c:extLst>
        </c:ser>
        <c:ser>
          <c:idx val="1"/>
          <c:order val="1"/>
          <c:tx>
            <c:v>BRKN</c:v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CA3-4606-813B-C499595F5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CA3-4606-813B-C499595F511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CA3-4606-813B-C499595F511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CA3-4606-813B-C499595F511C}"/>
                </c:ext>
              </c:extLst>
            </c:dLbl>
            <c:numFmt formatCode="&quot;R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HDL  Drill 1.8 kg CB Poly Black</c:v>
              </c:pt>
              <c:pt idx="1">
                <c:v>HDL Axe 900g Poly N/C Yellow </c:v>
              </c:pt>
              <c:pt idx="2">
                <c:v>Hd Slasher </c:v>
              </c:pt>
              <c:pt idx="3">
                <c:v>HDL Axe 1.8kg Poly S/C Yellow</c:v>
              </c:pt>
              <c:pt idx="4">
                <c:v>Hdl Rake Steel Plastic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1159</c:v>
              </c:pt>
            </c:numLit>
          </c:val>
          <c:extLst>
            <c:ext xmlns:c16="http://schemas.microsoft.com/office/drawing/2014/chart" uri="{C3380CC4-5D6E-409C-BE32-E72D297353CC}">
              <c16:uniqueId val="{00000001-FCA3-4606-813B-C499595F511C}"/>
            </c:ext>
          </c:extLst>
        </c:ser>
        <c:ser>
          <c:idx val="2"/>
          <c:order val="2"/>
          <c:tx>
            <c:v>POOR ASSMBLY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2021881048526296"/>
                  <c:y val="4.822970402911689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CA3-4606-813B-C499595F5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CA3-4606-813B-C499595F511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CA3-4606-813B-C499595F511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CA3-4606-813B-C499595F511C}"/>
                </c:ext>
              </c:extLst>
            </c:dLbl>
            <c:numFmt formatCode="&quot;R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HDL  Drill 1.8 kg CB Poly Black</c:v>
              </c:pt>
              <c:pt idx="1">
                <c:v>HDL Axe 900g Poly N/C Yellow </c:v>
              </c:pt>
              <c:pt idx="2">
                <c:v>Hd Slasher </c:v>
              </c:pt>
              <c:pt idx="3">
                <c:v>HDL Axe 1.8kg Poly S/C Yellow</c:v>
              </c:pt>
              <c:pt idx="4">
                <c:v>Hdl Rake Steel Plastic</c:v>
              </c:pt>
            </c:strLit>
          </c:cat>
          <c:val>
            <c:numLit>
              <c:formatCode>General</c:formatCode>
              <c:ptCount val="5"/>
              <c:pt idx="0">
                <c:v>123.04</c:v>
              </c:pt>
              <c:pt idx="1">
                <c:v>0</c:v>
              </c:pt>
              <c:pt idx="2">
                <c:v>366.39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FCA3-4606-813B-C499595F511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386469216"/>
        <c:axId val="386471296"/>
      </c:barChart>
      <c:catAx>
        <c:axId val="38646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71296"/>
        <c:crosses val="autoZero"/>
        <c:auto val="1"/>
        <c:lblAlgn val="ctr"/>
        <c:lblOffset val="100"/>
        <c:noMultiLvlLbl val="0"/>
      </c:catAx>
      <c:valAx>
        <c:axId val="38647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69216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791275867368412"/>
          <c:y val="0.60186303371674055"/>
          <c:w val="0.34828569869457626"/>
          <c:h val="0.235495011453605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OVERALL HAMMER SCRAP TYPE CONTRIBUTION</a:t>
            </a:r>
          </a:p>
        </c:rich>
      </c:tx>
      <c:layout>
        <c:manualLayout>
          <c:xMode val="edge"/>
          <c:yMode val="edge"/>
          <c:x val="0.17537097336517146"/>
          <c:y val="3.6625149129086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6553039565706459E-2"/>
              <c:y val="-3.481288076588337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0689750737679528E-2"/>
              <c:y val="6.962576153176611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2410188993172117E-2"/>
              <c:y val="-6.962576153176675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C0A096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2422360248447204E-2"/>
              <c:y val="-2.43690165361183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FDB5B5"/>
          </a:solidFill>
          <a:ln>
            <a:noFill/>
          </a:ln>
          <a:effectLst/>
        </c:spPr>
        <c:dLbl>
          <c:idx val="0"/>
          <c:layout>
            <c:manualLayout>
              <c:x val="2.0703933747411251E-3"/>
              <c:y val="-1.74064403829416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2410188993172117E-2"/>
              <c:y val="-6.962576153176675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0689750737679528E-2"/>
              <c:y val="6.962576153176611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6553039565706459E-2"/>
              <c:y val="-3.481288076588337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2422360248447204E-2"/>
              <c:y val="-2.43690165361183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FDB5B5"/>
          </a:solidFill>
          <a:ln>
            <a:noFill/>
          </a:ln>
          <a:effectLst/>
        </c:spPr>
        <c:dLbl>
          <c:idx val="0"/>
          <c:layout>
            <c:manualLayout>
              <c:x val="2.0703933747411251E-3"/>
              <c:y val="-1.74064403829416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683111979423625"/>
          <c:y val="0.27782925316153662"/>
          <c:w val="0.46578072477782384"/>
          <c:h val="0.67580548795036988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AF6-449A-A947-B73D413BB118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AF6-449A-A947-B73D413BB118}"/>
              </c:ext>
            </c:extLst>
          </c:dPt>
          <c:dPt>
            <c:idx val="2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AF6-449A-A947-B73D413BB118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AF6-449A-A947-B73D413BB118}"/>
              </c:ext>
            </c:extLst>
          </c:dPt>
          <c:dPt>
            <c:idx val="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AF6-449A-A947-B73D413BB118}"/>
              </c:ext>
            </c:extLst>
          </c:dPt>
          <c:dPt>
            <c:idx val="5"/>
            <c:bubble3D val="0"/>
            <c:spPr>
              <a:solidFill>
                <a:srgbClr val="FDB5B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AF6-449A-A947-B73D413BB118}"/>
              </c:ext>
            </c:extLst>
          </c:dPt>
          <c:dLbls>
            <c:dLbl>
              <c:idx val="0"/>
              <c:layout>
                <c:manualLayout>
                  <c:x val="6.6833751044277231E-2"/>
                  <c:y val="0.1939393939393939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F6-449A-A947-B73D413BB118}"/>
                </c:ext>
              </c:extLst>
            </c:dLbl>
            <c:dLbl>
              <c:idx val="1"/>
              <c:layout>
                <c:manualLayout>
                  <c:x val="-0.11934429248975457"/>
                  <c:y val="0.235461512765449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F6-449A-A947-B73D413BB118}"/>
                </c:ext>
              </c:extLst>
            </c:dLbl>
            <c:dLbl>
              <c:idx val="2"/>
              <c:layout>
                <c:manualLayout>
                  <c:x val="-0.17106572204790191"/>
                  <c:y val="6.51445478406108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F6-449A-A947-B73D413BB118}"/>
                </c:ext>
              </c:extLst>
            </c:dLbl>
            <c:dLbl>
              <c:idx val="3"/>
              <c:layout>
                <c:manualLayout>
                  <c:x val="-0.22707924667311322"/>
                  <c:y val="-8.59056072536387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F6-449A-A947-B73D413BB118}"/>
                </c:ext>
              </c:extLst>
            </c:dLbl>
            <c:dLbl>
              <c:idx val="4"/>
              <c:layout>
                <c:manualLayout>
                  <c:x val="-0.17282339707536559"/>
                  <c:y val="-0.111641899308041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AF6-449A-A947-B73D413BB118}"/>
                </c:ext>
              </c:extLst>
            </c:dLbl>
            <c:dLbl>
              <c:idx val="5"/>
              <c:layout>
                <c:manualLayout>
                  <c:x val="-6.1421795959715593E-2"/>
                  <c:y val="-0.138618563588642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AF6-449A-A947-B73D413BB118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BAD.FRG</c:v>
              </c:pt>
              <c:pt idx="1">
                <c:v>DAM.EYE</c:v>
              </c:pt>
              <c:pt idx="2">
                <c:v>BAD.SCAL</c:v>
              </c:pt>
              <c:pt idx="3">
                <c:v>CLW END.SHRT</c:v>
              </c:pt>
              <c:pt idx="4">
                <c:v>CRACKSF/fault</c:v>
              </c:pt>
              <c:pt idx="5">
                <c:v>WL.DAM</c:v>
              </c:pt>
            </c:strLit>
          </c:cat>
          <c:val>
            <c:numLit>
              <c:formatCode>General</c:formatCode>
              <c:ptCount val="6"/>
              <c:pt idx="0">
                <c:v>0.67272727272727273</c:v>
              </c:pt>
              <c:pt idx="1">
                <c:v>0.1393939393939394</c:v>
              </c:pt>
              <c:pt idx="2">
                <c:v>8.4848484848484854E-2</c:v>
              </c:pt>
              <c:pt idx="3">
                <c:v>6.0606060606060608E-2</c:v>
              </c:pt>
              <c:pt idx="4">
                <c:v>3.0303030303030304E-2</c:v>
              </c:pt>
              <c:pt idx="5">
                <c:v>1.2121212121212121E-2</c:v>
              </c:pt>
            </c:numLit>
          </c:val>
          <c:extLst>
            <c:ext xmlns:c16="http://schemas.microsoft.com/office/drawing/2014/chart" uri="{C3380CC4-5D6E-409C-BE32-E72D297353CC}">
              <c16:uniqueId val="{0000000C-BAF6-449A-A947-B73D413BB1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364401818193776"/>
          <c:y val="0.39828928656645191"/>
          <c:w val="0.27584078306001225"/>
          <c:h val="0.517887555121892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OVERALL IRON TOOL SCRAP TYPE CONTRIBUTION</a:t>
            </a:r>
          </a:p>
        </c:rich>
      </c:tx>
      <c:layout>
        <c:manualLayout>
          <c:xMode val="edge"/>
          <c:yMode val="edge"/>
          <c:x val="0.16500804802714575"/>
          <c:y val="3.01110730723876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4973621551815856E-2"/>
              <c:y val="0.101718608703323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753124370456231"/>
              <c:y val="-3.60360360360366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5.3203568978357929E-2"/>
              <c:y val="1.07501268223824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3002907063270691E-2"/>
              <c:y val="-0.1189189189189189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3.4400440619141485E-2"/>
              <c:y val="-8.53053662409845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8.7362558746161018E-3"/>
              <c:y val="-9.52380952380952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4973621551815856E-2"/>
              <c:y val="0.101718608703323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5.3203568978357929E-2"/>
              <c:y val="1.07501268223824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3.4400440619141485E-2"/>
              <c:y val="-8.53053662409845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8.7362558746161018E-3"/>
              <c:y val="-9.52380952380952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717826017604153"/>
          <c:y val="0.26670014074327664"/>
          <c:w val="0.53512913095807779"/>
          <c:h val="0.70187226596675412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D5E-41B4-91A8-CA4D5860F1F2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D5E-41B4-91A8-CA4D5860F1F2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D5E-41B4-91A8-CA4D5860F1F2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D5E-41B4-91A8-CA4D5860F1F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D5E-41B4-91A8-CA4D5860F1F2}"/>
              </c:ext>
            </c:extLst>
          </c:dPt>
          <c:dLbls>
            <c:dLbl>
              <c:idx val="0"/>
              <c:layout>
                <c:manualLayout>
                  <c:x val="7.6071982714867826E-3"/>
                  <c:y val="0.217660618509642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5E-41B4-91A8-CA4D5860F1F2}"/>
                </c:ext>
              </c:extLst>
            </c:dLbl>
            <c:dLbl>
              <c:idx val="1"/>
              <c:layout>
                <c:manualLayout>
                  <c:x val="-0.17095401748814548"/>
                  <c:y val="4.93974666210202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5E-41B4-91A8-CA4D5860F1F2}"/>
                </c:ext>
              </c:extLst>
            </c:dLbl>
            <c:dLbl>
              <c:idx val="2"/>
              <c:layout>
                <c:manualLayout>
                  <c:x val="-0.23697858209712735"/>
                  <c:y val="-3.69960820114876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5E-41B4-91A8-CA4D5860F1F2}"/>
                </c:ext>
              </c:extLst>
            </c:dLbl>
            <c:dLbl>
              <c:idx val="3"/>
              <c:layout>
                <c:manualLayout>
                  <c:x val="-0.1680593378866316"/>
                  <c:y val="-0.109730685838183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D5E-41B4-91A8-CA4D5860F1F2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WL.DAM</c:v>
              </c:pt>
              <c:pt idx="1">
                <c:v>BAD.FRG</c:v>
              </c:pt>
              <c:pt idx="2">
                <c:v>BRKN.TIP</c:v>
              </c:pt>
              <c:pt idx="3">
                <c:v>BENT/ OFFSET</c:v>
              </c:pt>
            </c:strLit>
          </c:cat>
          <c:val>
            <c:numLit>
              <c:formatCode>General</c:formatCode>
              <c:ptCount val="4"/>
              <c:pt idx="0">
                <c:v>0.75</c:v>
              </c:pt>
              <c:pt idx="1">
                <c:v>0.19791666666666666</c:v>
              </c:pt>
              <c:pt idx="2">
                <c:v>3.6458333333333336E-2</c:v>
              </c:pt>
              <c:pt idx="3">
                <c:v>1.5625E-2</c:v>
              </c:pt>
            </c:numLit>
          </c:val>
          <c:extLst>
            <c:ext xmlns:c16="http://schemas.microsoft.com/office/drawing/2014/chart" uri="{C3380CC4-5D6E-409C-BE32-E72D297353CC}">
              <c16:uniqueId val="{0000000A-6D5E-41B4-91A8-CA4D5860F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066225837792372"/>
          <c:y val="0.5838426718399331"/>
          <c:w val="0.30247821232290711"/>
          <c:h val="0.316775200397247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HANDLE SCRAP TYPE CONTRIBUTION</a:t>
            </a:r>
          </a:p>
        </c:rich>
      </c:tx>
      <c:layout>
        <c:manualLayout>
          <c:xMode val="edge"/>
          <c:yMode val="edge"/>
          <c:x val="0.15044759032780478"/>
          <c:y val="3.76467021044751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2745098039215688"/>
              <c:y val="-8.3333269003189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0457516339869281"/>
              <c:y val="0.122548925004689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3071895424836602"/>
              <c:y val="0.166666538006377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6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0457516339869281"/>
              <c:y val="0.122548925004689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798929545571509"/>
          <c:y val="0.23919311471891716"/>
          <c:w val="0.4589531754075295"/>
          <c:h val="0.6617971482500008"/>
        </c:manualLayout>
      </c:layout>
      <c:doughnutChart>
        <c:varyColors val="1"/>
        <c:ser>
          <c:idx val="0"/>
          <c:order val="0"/>
          <c:tx>
            <c:v>Total</c:v>
          </c:tx>
          <c:spPr>
            <a:solidFill>
              <a:schemeClr val="bg1">
                <a:lumMod val="65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E3C-434E-AEE8-FFF9FAE54294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E3C-434E-AEE8-FFF9FAE54294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E3C-434E-AEE8-FFF9FAE54294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E3C-434E-AEE8-FFF9FAE54294}"/>
              </c:ext>
            </c:extLst>
          </c:dPt>
          <c:dPt>
            <c:idx val="4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E3C-434E-AEE8-FFF9FAE54294}"/>
              </c:ext>
            </c:extLst>
          </c:dPt>
          <c:dPt>
            <c:idx val="5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E3C-434E-AEE8-FFF9FAE54294}"/>
              </c:ext>
            </c:extLst>
          </c:dPt>
          <c:dLbls>
            <c:dLbl>
              <c:idx val="0"/>
              <c:layout>
                <c:manualLayout>
                  <c:x val="3.9007092198581499E-2"/>
                  <c:y val="0.231046931407942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3C-434E-AEE8-FFF9FAE54294}"/>
                </c:ext>
              </c:extLst>
            </c:dLbl>
            <c:dLbl>
              <c:idx val="1"/>
              <c:layout>
                <c:manualLayout>
                  <c:x val="-8.5106382978723402E-2"/>
                  <c:y val="0.216606498194945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3C-434E-AEE8-FFF9FAE54294}"/>
                </c:ext>
              </c:extLst>
            </c:dLbl>
            <c:dLbl>
              <c:idx val="2"/>
              <c:layout>
                <c:manualLayout>
                  <c:x val="-0.12939772156140056"/>
                  <c:y val="-6.03632849142955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3C-434E-AEE8-FFF9FAE54294}"/>
                </c:ext>
              </c:extLst>
            </c:dLbl>
            <c:dLbl>
              <c:idx val="3"/>
              <c:layout>
                <c:manualLayout>
                  <c:x val="-0.1702127659574468"/>
                  <c:y val="-0.125150421179302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3C-434E-AEE8-FFF9FAE5429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BRKN</c:v>
              </c:pt>
              <c:pt idx="1">
                <c:v>PLSTC.MOULD.DEFECT</c:v>
              </c:pt>
              <c:pt idx="2">
                <c:v>CRACK</c:v>
              </c:pt>
              <c:pt idx="3">
                <c:v>POOR ASSMBLY</c:v>
              </c:pt>
            </c:strLit>
          </c:cat>
          <c:val>
            <c:numLit>
              <c:formatCode>General</c:formatCode>
              <c:ptCount val="4"/>
              <c:pt idx="0">
                <c:v>0.58241758241758246</c:v>
              </c:pt>
              <c:pt idx="1">
                <c:v>0.17582417582417584</c:v>
              </c:pt>
              <c:pt idx="2">
                <c:v>0.14285714285714285</c:v>
              </c:pt>
              <c:pt idx="3">
                <c:v>9.8901098901098897E-2</c:v>
              </c:pt>
            </c:numLit>
          </c:val>
          <c:extLst>
            <c:ext xmlns:c16="http://schemas.microsoft.com/office/drawing/2014/chart" uri="{C3380CC4-5D6E-409C-BE32-E72D297353CC}">
              <c16:uniqueId val="{0000000C-4E3C-434E-AEE8-FFF9FAE54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091500530518795"/>
          <c:y val="0.44192387503908581"/>
          <c:w val="0.36928104575163401"/>
          <c:h val="0.366505017197759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800" b="1"/>
            </a:pPr>
            <a:r>
              <a:rPr lang="en-ZA" sz="1800" b="1"/>
              <a:t>Performance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[2]Summary!$B$346</c:f>
              <c:strCache>
                <c:ptCount val="1"/>
                <c:pt idx="0">
                  <c:v>HAMMERS</c:v>
                </c:pt>
              </c:strCache>
            </c:strRef>
          </c:tx>
          <c:spPr>
            <a:solidFill>
              <a:srgbClr val="FFFF0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[2]Summary!$C$345:$F$345</c:f>
              <c:strCache>
                <c:ptCount val="4"/>
                <c:pt idx="0">
                  <c:v>PRODUCED</c:v>
                </c:pt>
                <c:pt idx="1">
                  <c:v>SCRAP QTY</c:v>
                </c:pt>
                <c:pt idx="2">
                  <c:v>SCRAP%</c:v>
                </c:pt>
                <c:pt idx="3">
                  <c:v>SCRAP VALUE</c:v>
                </c:pt>
              </c:strCache>
            </c:strRef>
          </c:cat>
          <c:val>
            <c:numRef>
              <c:f>[2]Summary!$C$346:$F$346</c:f>
              <c:numCache>
                <c:formatCode>General</c:formatCode>
                <c:ptCount val="4"/>
                <c:pt idx="0">
                  <c:v>299339</c:v>
                </c:pt>
                <c:pt idx="1">
                  <c:v>1020</c:v>
                </c:pt>
                <c:pt idx="2">
                  <c:v>3.407507875686095E-3</c:v>
                </c:pt>
                <c:pt idx="3">
                  <c:v>100991.41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4-48C8-A52C-A38B281E5F60}"/>
            </c:ext>
          </c:extLst>
        </c:ser>
        <c:ser>
          <c:idx val="1"/>
          <c:order val="1"/>
          <c:tx>
            <c:strRef>
              <c:f>[2]Summary!$B$347</c:f>
              <c:strCache>
                <c:ptCount val="1"/>
                <c:pt idx="0">
                  <c:v>IRON TOOLS</c:v>
                </c:pt>
              </c:strCache>
            </c:strRef>
          </c:tx>
          <c:spPr>
            <a:solidFill>
              <a:sysClr val="window" lastClr="FFFFFF">
                <a:lumMod val="65000"/>
              </a:sysClr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[2]Summary!$C$345:$F$345</c:f>
              <c:strCache>
                <c:ptCount val="4"/>
                <c:pt idx="0">
                  <c:v>PRODUCED</c:v>
                </c:pt>
                <c:pt idx="1">
                  <c:v>SCRAP QTY</c:v>
                </c:pt>
                <c:pt idx="2">
                  <c:v>SCRAP%</c:v>
                </c:pt>
                <c:pt idx="3">
                  <c:v>SCRAP VALUE</c:v>
                </c:pt>
              </c:strCache>
            </c:strRef>
          </c:cat>
          <c:val>
            <c:numRef>
              <c:f>[2]Summary!$C$347:$F$347</c:f>
              <c:numCache>
                <c:formatCode>General</c:formatCode>
                <c:ptCount val="4"/>
                <c:pt idx="0">
                  <c:v>169814</c:v>
                </c:pt>
                <c:pt idx="1">
                  <c:v>484</c:v>
                </c:pt>
                <c:pt idx="2">
                  <c:v>2.8501772527589008E-3</c:v>
                </c:pt>
                <c:pt idx="3">
                  <c:v>20273.460000000003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44-48C8-A52C-A38B281E5F60}"/>
            </c:ext>
          </c:extLst>
        </c:ser>
        <c:ser>
          <c:idx val="2"/>
          <c:order val="2"/>
          <c:tx>
            <c:strRef>
              <c:f>[2]Summary!$B$348</c:f>
              <c:strCache>
                <c:ptCount val="1"/>
                <c:pt idx="0">
                  <c:v>HANDLES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[2]Summary!$C$345:$F$345</c:f>
              <c:strCache>
                <c:ptCount val="4"/>
                <c:pt idx="0">
                  <c:v>PRODUCED</c:v>
                </c:pt>
                <c:pt idx="1">
                  <c:v>SCRAP QTY</c:v>
                </c:pt>
                <c:pt idx="2">
                  <c:v>SCRAP%</c:v>
                </c:pt>
                <c:pt idx="3">
                  <c:v>SCRAP VALUE</c:v>
                </c:pt>
              </c:strCache>
            </c:strRef>
          </c:cat>
          <c:val>
            <c:numRef>
              <c:f>[2]Summary!$C$348:$F$348</c:f>
              <c:numCache>
                <c:formatCode>General</c:formatCode>
                <c:ptCount val="4"/>
                <c:pt idx="0">
                  <c:v>288090</c:v>
                </c:pt>
                <c:pt idx="1">
                  <c:v>944</c:v>
                </c:pt>
                <c:pt idx="2">
                  <c:v>3.2767537922177097E-3</c:v>
                </c:pt>
                <c:pt idx="3">
                  <c:v>19956.25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44-48C8-A52C-A38B281E5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29959471"/>
        <c:axId val="1"/>
      </c:barChart>
      <c:catAx>
        <c:axId val="182995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8299594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</c:dTable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ysClr val="windowText" lastClr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OPEN VS CLOSED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315867984103589E-2"/>
          <c:y val="0.25546392193741174"/>
          <c:w val="0.8490247601823101"/>
          <c:h val="0.64115001205507127"/>
        </c:manualLayout>
      </c:layout>
      <c:barChart>
        <c:barDir val="col"/>
        <c:grouping val="clustered"/>
        <c:varyColors val="0"/>
        <c:ser>
          <c:idx val="0"/>
          <c:order val="0"/>
          <c:tx>
            <c:v>CLOSED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29E-47DA-B2B6-F6742FD032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70</c:v>
              </c:pt>
            </c:numLit>
          </c:val>
          <c:extLst>
            <c:ext xmlns:c16="http://schemas.microsoft.com/office/drawing/2014/chart" uri="{C3380CC4-5D6E-409C-BE32-E72D297353CC}">
              <c16:uniqueId val="{00000002-D29E-47DA-B2B6-F6742FD03235}"/>
            </c:ext>
          </c:extLst>
        </c:ser>
        <c:ser>
          <c:idx val="1"/>
          <c:order val="1"/>
          <c:tx>
            <c:v>OPEN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29E-47DA-B2B6-F6742FD032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5-D29E-47DA-B2B6-F6742FD032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4570799"/>
        <c:axId val="788685247"/>
      </c:barChart>
      <c:catAx>
        <c:axId val="96457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685247"/>
        <c:crosses val="autoZero"/>
        <c:auto val="1"/>
        <c:lblAlgn val="ctr"/>
        <c:lblOffset val="100"/>
        <c:noMultiLvlLbl val="0"/>
      </c:catAx>
      <c:valAx>
        <c:axId val="788685247"/>
        <c:scaling>
          <c:orientation val="minMax"/>
          <c:max val="7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57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Open Items/Area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532683414573176E-2"/>
          <c:y val="0.18894894611672877"/>
          <c:w val="0.91460528972339994"/>
          <c:h val="0.6125500559505086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27E-40CF-9AD8-FD49752F20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Factory</c:v>
              </c:pt>
              <c:pt idx="1">
                <c:v>Steel Yard</c:v>
              </c:pt>
              <c:pt idx="2">
                <c:v>Yard</c:v>
              </c:pt>
              <c:pt idx="3">
                <c:v>Drive way</c:v>
              </c:pt>
              <c:pt idx="4">
                <c:v>Petrol Store</c:v>
              </c:pt>
              <c:pt idx="5">
                <c:v>Consumable Stores</c:v>
              </c:pt>
              <c:pt idx="6">
                <c:v>Maintenance stores</c:v>
              </c:pt>
              <c:pt idx="7">
                <c:v>Tool Room</c:v>
              </c:pt>
            </c:strLit>
          </c:cat>
          <c:val>
            <c:numLit>
              <c:formatCode>General</c:formatCode>
              <c:ptCount val="8"/>
              <c:pt idx="0">
                <c:v>10</c:v>
              </c:pt>
              <c:pt idx="1">
                <c:v>5</c:v>
              </c:pt>
              <c:pt idx="2">
                <c:v>3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127E-40CF-9AD8-FD49752F20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4570799"/>
        <c:axId val="788685247"/>
      </c:barChart>
      <c:catAx>
        <c:axId val="96457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685247"/>
        <c:crosses val="autoZero"/>
        <c:auto val="1"/>
        <c:lblAlgn val="ctr"/>
        <c:lblOffset val="100"/>
        <c:noMultiLvlLbl val="0"/>
      </c:catAx>
      <c:valAx>
        <c:axId val="788685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57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YTD No of Positive Cases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19717950986463767"/>
          <c:y val="6.53732283464566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8909512632274547E-3"/>
              <c:y val="-0.249303978645728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1">
              <a:noAutofit/>
            </a:bodyPr>
            <a:lstStyle/>
            <a:p>
              <a:pPr>
                <a:defRPr sz="3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7956773373729976"/>
                  <c:h val="0.19151896381224301"/>
                </c:manualLayout>
              </c15:layout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8909512632274547E-3"/>
              <c:y val="-0.249303978645728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1">
              <a:noAutofit/>
            </a:bodyPr>
            <a:lstStyle/>
            <a:p>
              <a:pPr>
                <a:defRPr sz="3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7956773373729976"/>
                  <c:h val="0.19151896381224301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B7-4FD6-B1B6-4839D4617102}"/>
              </c:ext>
            </c:extLst>
          </c:dPt>
          <c:dLbls>
            <c:dLbl>
              <c:idx val="0"/>
              <c:layout>
                <c:manualLayout>
                  <c:x val="-3.8909512632274547E-3"/>
                  <c:y val="-0.2493039786457288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none" lIns="38100" tIns="19050" rIns="38100" bIns="19050" anchor="ctr" anchorCtr="1">
                  <a:noAutofit/>
                </a:bodyPr>
                <a:lstStyle/>
                <a:p>
                  <a:pPr>
                    <a:defRPr sz="3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7956773373729976"/>
                      <c:h val="0.1915189638122430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BB7-4FD6-B1B6-4839D46171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35</c:v>
              </c:pt>
            </c:numLit>
          </c:val>
          <c:extLst>
            <c:ext xmlns:c16="http://schemas.microsoft.com/office/drawing/2014/chart" uri="{C3380CC4-5D6E-409C-BE32-E72D297353CC}">
              <c16:uniqueId val="{00000002-DBB7-4FD6-B1B6-4839D4617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</a:t>
            </a:r>
          </a:p>
        </c:rich>
      </c:tx>
      <c:layout>
        <c:manualLayout>
          <c:xMode val="edge"/>
          <c:yMode val="edge"/>
          <c:x val="0.35219389065728485"/>
          <c:y val="6.715591146007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8909512632274547E-3"/>
              <c:y val="-0.249303978645728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1">
              <a:noAutofit/>
            </a:bodyPr>
            <a:lstStyle/>
            <a:p>
              <a:pPr>
                <a:defRPr sz="3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7956773373729976"/>
                  <c:h val="0.19151896381224301"/>
                </c:manualLayout>
              </c15:layout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8909512632274547E-3"/>
              <c:y val="-0.249303978645728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1">
              <a:noAutofit/>
            </a:bodyPr>
            <a:lstStyle/>
            <a:p>
              <a:pPr>
                <a:defRPr sz="3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7956773373729976"/>
                  <c:h val="0.19151896381224301"/>
                </c:manualLayout>
              </c15:layout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2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504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1F9-4477-A538-C58C7C27C7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Production</c:v>
              </c:pt>
              <c:pt idx="1">
                <c:v>Warehouse</c:v>
              </c:pt>
            </c:strLit>
          </c:cat>
          <c:val>
            <c:numLit>
              <c:formatCode>General</c:formatCode>
              <c:ptCount val="2"/>
              <c:pt idx="0">
                <c:v>25</c:v>
              </c:pt>
              <c:pt idx="1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2-31F9-4477-A538-C58C7C27C7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975990191"/>
        <c:axId val="975976047"/>
      </c:barChart>
      <c:valAx>
        <c:axId val="975976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990191"/>
        <c:crosses val="autoZero"/>
        <c:crossBetween val="between"/>
      </c:valAx>
      <c:catAx>
        <c:axId val="9759901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9760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[LGM  Incident Tracking 2025.xlsx]Injury.Dept!PivotTable1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Incident</a:t>
            </a:r>
            <a:r>
              <a:rPr lang="en-US" baseline="0"/>
              <a:t> Category</a:t>
            </a:r>
            <a:endParaRPr lang="en-US"/>
          </a:p>
        </c:rich>
      </c:tx>
      <c:layout>
        <c:manualLayout>
          <c:xMode val="edge"/>
          <c:yMode val="edge"/>
          <c:x val="0.41628621304412416"/>
          <c:y val="5.1248831526641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Injury.Dept!$B$3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Injury.Dept!$A$4:$A$6</c:f>
              <c:strCache>
                <c:ptCount val="2"/>
                <c:pt idx="0">
                  <c:v>HAMMERS</c:v>
                </c:pt>
                <c:pt idx="1">
                  <c:v>Warehouse</c:v>
                </c:pt>
              </c:strCache>
            </c:strRef>
          </c:cat>
          <c:val>
            <c:numRef>
              <c:f>Injury.Dept!$B$4:$B$6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A4-4802-974E-00E8841258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111777583"/>
        <c:axId val="2111781743"/>
      </c:barChart>
      <c:catAx>
        <c:axId val="2111777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81743"/>
        <c:crosses val="autoZero"/>
        <c:auto val="1"/>
        <c:lblAlgn val="ctr"/>
        <c:lblOffset val="100"/>
        <c:noMultiLvlLbl val="0"/>
      </c:catAx>
      <c:valAx>
        <c:axId val="211178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7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[LGM  Incident Tracking 2025.xlsx]Firstaid!PivotTable1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First</a:t>
            </a:r>
            <a:r>
              <a:rPr lang="en-US" baseline="0"/>
              <a:t> Aid/Month</a:t>
            </a:r>
            <a:endParaRPr lang="en-US"/>
          </a:p>
        </c:rich>
      </c:tx>
      <c:layout>
        <c:manualLayout>
          <c:xMode val="edge"/>
          <c:yMode val="edge"/>
          <c:x val="0.42640487641272273"/>
          <c:y val="3.92712474727004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Firstaid!$B$4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Firstaid!$A$5:$A$17</c:f>
              <c:multiLvlStrCache>
                <c:ptCount val="11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Firstaid!$B$5:$B$17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A3-4955-BAB0-CCC22FDECD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1777583"/>
        <c:axId val="2111781743"/>
      </c:barChart>
      <c:catAx>
        <c:axId val="211177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81743"/>
        <c:crosses val="autoZero"/>
        <c:auto val="1"/>
        <c:lblAlgn val="ctr"/>
        <c:lblOffset val="100"/>
        <c:noMultiLvlLbl val="0"/>
      </c:catAx>
      <c:valAx>
        <c:axId val="211178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7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[LGM  Incident Tracking 2025.xlsx]Injury type!PivotTable1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Body</a:t>
            </a:r>
            <a:r>
              <a:rPr lang="en-US" baseline="0"/>
              <a:t> Part Injured</a:t>
            </a:r>
            <a:endParaRPr lang="en-US"/>
          </a:p>
        </c:rich>
      </c:tx>
      <c:layout>
        <c:manualLayout>
          <c:xMode val="edge"/>
          <c:yMode val="edge"/>
          <c:x val="0.40293977836103823"/>
          <c:y val="4.28124876350255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'Injury type'!$B$3:$B$4</c:f>
              <c:strCache>
                <c:ptCount val="1"/>
                <c:pt idx="0">
                  <c:v>LTI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'Injury type'!$A$5:$A$7</c:f>
              <c:strCache>
                <c:ptCount val="2"/>
                <c:pt idx="0">
                  <c:v>Foot</c:v>
                </c:pt>
                <c:pt idx="1">
                  <c:v>Hand</c:v>
                </c:pt>
              </c:strCache>
            </c:strRef>
          </c:cat>
          <c:val>
            <c:numRef>
              <c:f>'Injury type'!$B$5:$B$7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1-4834-895C-0CA4B462A8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1777583"/>
        <c:axId val="2111781743"/>
      </c:barChart>
      <c:catAx>
        <c:axId val="211177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81743"/>
        <c:crosses val="autoZero"/>
        <c:auto val="1"/>
        <c:lblAlgn val="ctr"/>
        <c:lblOffset val="100"/>
        <c:noMultiLvlLbl val="0"/>
      </c:catAx>
      <c:valAx>
        <c:axId val="211178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7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10208219869354"/>
          <c:y val="6.4500607957567152E-2"/>
          <c:w val="0.15"/>
          <c:h val="0.331340429180020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[LGM  Incident Tracking 2025.xlsx]LTI!PivotTable1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Time Lost (Hrs)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1777583"/>
        <c:axId val="2111781743"/>
      </c:barChart>
      <c:catAx>
        <c:axId val="211177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81743"/>
        <c:crosses val="autoZero"/>
        <c:auto val="1"/>
        <c:lblAlgn val="ctr"/>
        <c:lblOffset val="100"/>
        <c:noMultiLvlLbl val="0"/>
      </c:catAx>
      <c:valAx>
        <c:axId val="211178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7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10208219869354"/>
          <c:y val="6.4500607957567152E-2"/>
          <c:w val="0.13001436954026699"/>
          <c:h val="0.179562141697455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[LGM  Incident Tracking 2025.xlsx]LTIs.MONTH!PivotTable1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LTI/Month</a:t>
            </a:r>
          </a:p>
        </c:rich>
      </c:tx>
      <c:layout>
        <c:manualLayout>
          <c:xMode val="edge"/>
          <c:yMode val="edge"/>
          <c:x val="0.44458809983657699"/>
          <c:y val="5.1248831526641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LTIs.MONTH!$B$4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LTIs.MONTH!$A$5:$A$18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LTIs.MONTH!$B$5:$B$18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DB-4905-8ED2-89FA702603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1777583"/>
        <c:axId val="2111781743"/>
      </c:barChart>
      <c:catAx>
        <c:axId val="211177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81743"/>
        <c:crosses val="autoZero"/>
        <c:auto val="1"/>
        <c:lblAlgn val="ctr"/>
        <c:lblOffset val="100"/>
        <c:noMultiLvlLbl val="0"/>
      </c:catAx>
      <c:valAx>
        <c:axId val="211178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7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[LGM  Incident Tracking 2025.xlsx]IOD TIMELOST!PivotTable2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TIME LOST(Hrs)/Month</a:t>
            </a:r>
            <a:endParaRPr lang="en-ZA">
              <a:effectLst/>
            </a:endParaRPr>
          </a:p>
        </c:rich>
      </c:tx>
      <c:layout>
        <c:manualLayout>
          <c:xMode val="edge"/>
          <c:yMode val="edge"/>
          <c:x val="0.31969696253621371"/>
          <c:y val="3.36971036515172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'IOD TIMELOST'!$B$4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'IOD TIMELOST'!$A$5:$A$16</c:f>
              <c:multiLvlStrCache>
                <c:ptCount val="1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'IOD TIMELOST'!$B$5:$B$16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1.92</c:v>
                </c:pt>
                <c:pt idx="4">
                  <c:v>0</c:v>
                </c:pt>
                <c:pt idx="5">
                  <c:v>12.76</c:v>
                </c:pt>
                <c:pt idx="6">
                  <c:v>24.76</c:v>
                </c:pt>
                <c:pt idx="7">
                  <c:v>23</c:v>
                </c:pt>
                <c:pt idx="8">
                  <c:v>5.44</c:v>
                </c:pt>
                <c:pt idx="9">
                  <c:v>14.08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78-49EC-A85E-8320564FE8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378592"/>
        <c:axId val="102369856"/>
      </c:barChart>
      <c:catAx>
        <c:axId val="10237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69856"/>
        <c:crosses val="autoZero"/>
        <c:auto val="1"/>
        <c:lblAlgn val="ctr"/>
        <c:lblOffset val="100"/>
        <c:noMultiLvlLbl val="0"/>
      </c:catAx>
      <c:valAx>
        <c:axId val="102369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8592"/>
        <c:crosses val="autoZero"/>
        <c:crossBetween val="between"/>
        <c:majorUnit val="7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[LGM  Incident Tracking 2025.xlsx]Day of incident!PivotTable2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Day of Incident</a:t>
            </a:r>
            <a:endParaRPr lang="en-ZA">
              <a:effectLst/>
            </a:endParaRPr>
          </a:p>
        </c:rich>
      </c:tx>
      <c:layout>
        <c:manualLayout>
          <c:xMode val="edge"/>
          <c:yMode val="edge"/>
          <c:x val="0.32455260682907966"/>
          <c:y val="6.0154565512321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 of incident'!$B$3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'Day of incident'!$A$4:$A$9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'Day of incident'!$B$4:$B$9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C-4912-A798-8AA895C6D8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2378592"/>
        <c:axId val="102369856"/>
      </c:barChart>
      <c:catAx>
        <c:axId val="10237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69856"/>
        <c:crosses val="autoZero"/>
        <c:auto val="1"/>
        <c:lblAlgn val="ctr"/>
        <c:lblOffset val="100"/>
        <c:noMultiLvlLbl val="0"/>
      </c:catAx>
      <c:valAx>
        <c:axId val="102369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859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[LGM  Incident Tracking 2025.xlsx]NO OF IOD!PivotTable2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No. of IODs/Month</a:t>
            </a:r>
            <a:endParaRPr lang="en-ZA">
              <a:effectLst/>
            </a:endParaRPr>
          </a:p>
        </c:rich>
      </c:tx>
      <c:layout>
        <c:manualLayout>
          <c:xMode val="edge"/>
          <c:yMode val="edge"/>
          <c:x val="0.38310220151052549"/>
          <c:y val="5.241068395862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 OF IOD'!$B$3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'NO OF IOD'!$A$4:$A$24</c:f>
              <c:multiLvlStrCache>
                <c:ptCount val="18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Aug</c:v>
                  </c:pt>
                  <c:pt idx="14">
                    <c:v>Sep</c:v>
                  </c:pt>
                  <c:pt idx="15">
                    <c:v>Oct</c:v>
                  </c:pt>
                  <c:pt idx="16">
                    <c:v>Nov</c:v>
                  </c:pt>
                  <c:pt idx="17">
                    <c:v>Dec</c:v>
                  </c:pt>
                </c:lvl>
                <c:lvl>
                  <c:pt idx="0">
                    <c:v>2023</c:v>
                  </c:pt>
                  <c:pt idx="6">
                    <c:v>2024</c:v>
                  </c:pt>
                </c:lvl>
              </c:multiLvlStrCache>
            </c:multiLvlStrRef>
          </c:cat>
          <c:val>
            <c:numRef>
              <c:f>'NO OF IOD'!$B$4:$B$24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AC-4037-B02E-8B5CD54697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378592"/>
        <c:axId val="102369856"/>
      </c:barChart>
      <c:catAx>
        <c:axId val="10237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69856"/>
        <c:crosses val="autoZero"/>
        <c:auto val="1"/>
        <c:lblAlgn val="ctr"/>
        <c:lblOffset val="100"/>
        <c:noMultiLvlLbl val="0"/>
      </c:catAx>
      <c:valAx>
        <c:axId val="102369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859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[LGM  Incident Tracking 2025.xlsx]Day of incident (2)!PivotTable2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Day of Incident</a:t>
            </a:r>
            <a:endParaRPr lang="en-ZA">
              <a:effectLst/>
            </a:endParaRPr>
          </a:p>
        </c:rich>
      </c:tx>
      <c:layout>
        <c:manualLayout>
          <c:xMode val="edge"/>
          <c:yMode val="edge"/>
          <c:x val="0.32455260682907966"/>
          <c:y val="6.0154565512321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 of incident (2)'!$B$3:$B$4</c:f>
              <c:strCache>
                <c:ptCount val="1"/>
                <c:pt idx="0">
                  <c:v>LTI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'Day of incident (2)'!$A$5:$A$6</c:f>
              <c:strCache>
                <c:ptCount val="1"/>
                <c:pt idx="0">
                  <c:v>FRIDAY</c:v>
                </c:pt>
              </c:strCache>
            </c:strRef>
          </c:cat>
          <c:val>
            <c:numRef>
              <c:f>'Day of incident (2)'!$B$5:$B$6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0-43AF-B36E-9D7EEE71E8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2378592"/>
        <c:axId val="102369856"/>
      </c:barChart>
      <c:catAx>
        <c:axId val="10237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69856"/>
        <c:crosses val="autoZero"/>
        <c:auto val="1"/>
        <c:lblAlgn val="ctr"/>
        <c:lblOffset val="100"/>
        <c:noMultiLvlLbl val="0"/>
      </c:catAx>
      <c:valAx>
        <c:axId val="102369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859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[LGM  Incident Tracking 2025.xlsx]Incident Category!PivotTable1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Incident</a:t>
            </a:r>
            <a:r>
              <a:rPr lang="en-US" baseline="0"/>
              <a:t> Category</a:t>
            </a:r>
            <a:endParaRPr lang="en-US"/>
          </a:p>
        </c:rich>
      </c:tx>
      <c:layout>
        <c:manualLayout>
          <c:xMode val="edge"/>
          <c:yMode val="edge"/>
          <c:x val="0.41628621304412416"/>
          <c:y val="5.1248831526641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'Incident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'Incident Category'!$A$4:$A$6</c:f>
              <c:strCache>
                <c:ptCount val="2"/>
                <c:pt idx="0">
                  <c:v>LTI</c:v>
                </c:pt>
                <c:pt idx="1">
                  <c:v>First Aid</c:v>
                </c:pt>
              </c:strCache>
            </c:strRef>
          </c:cat>
          <c:val>
            <c:numRef>
              <c:f>'Incident Category'!$B$4:$B$6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D1-40FA-BC8A-E70603C210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1777583"/>
        <c:axId val="2111781743"/>
      </c:barChart>
      <c:catAx>
        <c:axId val="211177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81743"/>
        <c:crosses val="autoZero"/>
        <c:auto val="1"/>
        <c:lblAlgn val="ctr"/>
        <c:lblOffset val="100"/>
        <c:noMultiLvlLbl val="0"/>
      </c:catAx>
      <c:valAx>
        <c:axId val="211178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7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.svg"/><Relationship Id="rId18" Type="http://schemas.openxmlformats.org/officeDocument/2006/relationships/chart" Target="../charts/chart8.xml"/><Relationship Id="rId26" Type="http://schemas.openxmlformats.org/officeDocument/2006/relationships/chart" Target="../charts/chart14.xml"/><Relationship Id="rId21" Type="http://schemas.openxmlformats.org/officeDocument/2006/relationships/chart" Target="../charts/chart9.xml"/><Relationship Id="rId34" Type="http://schemas.openxmlformats.org/officeDocument/2006/relationships/chart" Target="../charts/chart22.xml"/><Relationship Id="rId7" Type="http://schemas.openxmlformats.org/officeDocument/2006/relationships/image" Target="../media/image2.png"/><Relationship Id="rId12" Type="http://schemas.openxmlformats.org/officeDocument/2006/relationships/image" Target="../media/image7.png"/><Relationship Id="rId17" Type="http://schemas.openxmlformats.org/officeDocument/2006/relationships/chart" Target="../charts/chart7.xml"/><Relationship Id="rId25" Type="http://schemas.openxmlformats.org/officeDocument/2006/relationships/chart" Target="../charts/chart13.xml"/><Relationship Id="rId33" Type="http://schemas.openxmlformats.org/officeDocument/2006/relationships/chart" Target="../charts/chart21.xml"/><Relationship Id="rId38" Type="http://schemas.openxmlformats.org/officeDocument/2006/relationships/image" Target="../media/image13.png"/><Relationship Id="rId2" Type="http://schemas.openxmlformats.org/officeDocument/2006/relationships/chart" Target="../charts/chart2.xml"/><Relationship Id="rId16" Type="http://schemas.openxmlformats.org/officeDocument/2006/relationships/chart" Target="../charts/chart6.xml"/><Relationship Id="rId20" Type="http://schemas.openxmlformats.org/officeDocument/2006/relationships/image" Target="../media/image12.svg"/><Relationship Id="rId29" Type="http://schemas.openxmlformats.org/officeDocument/2006/relationships/chart" Target="../charts/chart17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image" Target="../media/image6.svg"/><Relationship Id="rId24" Type="http://schemas.openxmlformats.org/officeDocument/2006/relationships/chart" Target="../charts/chart12.xml"/><Relationship Id="rId32" Type="http://schemas.openxmlformats.org/officeDocument/2006/relationships/chart" Target="../charts/chart20.xml"/><Relationship Id="rId37" Type="http://schemas.openxmlformats.org/officeDocument/2006/relationships/chart" Target="../charts/chart25.xml"/><Relationship Id="rId5" Type="http://schemas.openxmlformats.org/officeDocument/2006/relationships/chart" Target="../charts/chart4.xml"/><Relationship Id="rId15" Type="http://schemas.openxmlformats.org/officeDocument/2006/relationships/image" Target="../media/image10.svg"/><Relationship Id="rId23" Type="http://schemas.openxmlformats.org/officeDocument/2006/relationships/chart" Target="../charts/chart11.xml"/><Relationship Id="rId28" Type="http://schemas.openxmlformats.org/officeDocument/2006/relationships/chart" Target="../charts/chart16.xml"/><Relationship Id="rId36" Type="http://schemas.openxmlformats.org/officeDocument/2006/relationships/chart" Target="../charts/chart24.xml"/><Relationship Id="rId10" Type="http://schemas.openxmlformats.org/officeDocument/2006/relationships/image" Target="../media/image5.png"/><Relationship Id="rId19" Type="http://schemas.openxmlformats.org/officeDocument/2006/relationships/image" Target="../media/image11.png"/><Relationship Id="rId31" Type="http://schemas.openxmlformats.org/officeDocument/2006/relationships/chart" Target="../charts/chart19.xml"/><Relationship Id="rId4" Type="http://schemas.openxmlformats.org/officeDocument/2006/relationships/chart" Target="../charts/chart3.xml"/><Relationship Id="rId9" Type="http://schemas.openxmlformats.org/officeDocument/2006/relationships/image" Target="../media/image4.png"/><Relationship Id="rId14" Type="http://schemas.openxmlformats.org/officeDocument/2006/relationships/image" Target="../media/image9.png"/><Relationship Id="rId22" Type="http://schemas.openxmlformats.org/officeDocument/2006/relationships/chart" Target="../charts/chart10.xml"/><Relationship Id="rId27" Type="http://schemas.openxmlformats.org/officeDocument/2006/relationships/chart" Target="../charts/chart15.xml"/><Relationship Id="rId30" Type="http://schemas.openxmlformats.org/officeDocument/2006/relationships/chart" Target="../charts/chart18.xml"/><Relationship Id="rId35" Type="http://schemas.openxmlformats.org/officeDocument/2006/relationships/chart" Target="../charts/chart23.xml"/><Relationship Id="rId8" Type="http://schemas.openxmlformats.org/officeDocument/2006/relationships/image" Target="../media/image3.png"/><Relationship Id="rId3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705970</xdr:colOff>
      <xdr:row>29</xdr:row>
      <xdr:rowOff>67235</xdr:rowOff>
    </xdr:from>
    <xdr:to>
      <xdr:col>11</xdr:col>
      <xdr:colOff>1590675</xdr:colOff>
      <xdr:row>42</xdr:row>
      <xdr:rowOff>134470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D3D659-A29F-4458-A9D5-9E837DB79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134470</xdr:colOff>
      <xdr:row>43</xdr:row>
      <xdr:rowOff>19841</xdr:rowOff>
    </xdr:from>
    <xdr:to>
      <xdr:col>6</xdr:col>
      <xdr:colOff>534742</xdr:colOff>
      <xdr:row>56</xdr:row>
      <xdr:rowOff>112060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9800F9-3E9E-4E6E-A40B-F39B4DC75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44823</xdr:colOff>
      <xdr:row>5</xdr:row>
      <xdr:rowOff>56029</xdr:rowOff>
    </xdr:from>
    <xdr:ext cx="1761565" cy="3309471"/>
    <xdr:pic>
      <xdr:nvPicPr>
        <xdr:cNvPr id="7" name="Picture 6">
          <a:extLst>
            <a:ext uri="{FF2B5EF4-FFF2-40B4-BE49-F238E27FC236}">
              <a16:creationId xmlns:a16="http://schemas.microsoft.com/office/drawing/2014/main" id="{D031EF20-9EFE-4108-AFF7-77E07C866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3156" y="1876362"/>
          <a:ext cx="1761565" cy="3309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134471</xdr:colOff>
      <xdr:row>29</xdr:row>
      <xdr:rowOff>48898</xdr:rowOff>
    </xdr:from>
    <xdr:to>
      <xdr:col>6</xdr:col>
      <xdr:colOff>549088</xdr:colOff>
      <xdr:row>42</xdr:row>
      <xdr:rowOff>145676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DE55D9B-D0F1-4E66-AB49-546230D25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682025</xdr:colOff>
      <xdr:row>43</xdr:row>
      <xdr:rowOff>14478</xdr:rowOff>
    </xdr:from>
    <xdr:to>
      <xdr:col>11</xdr:col>
      <xdr:colOff>1590675</xdr:colOff>
      <xdr:row>56</xdr:row>
      <xdr:rowOff>67235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E397A0E-4FA3-4E2F-A6C1-AAE238D7C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683559</xdr:colOff>
      <xdr:row>56</xdr:row>
      <xdr:rowOff>110708</xdr:rowOff>
    </xdr:from>
    <xdr:to>
      <xdr:col>11</xdr:col>
      <xdr:colOff>1600200</xdr:colOff>
      <xdr:row>72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D8A8449-CD1F-4886-84DD-2836DE047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78441</xdr:colOff>
      <xdr:row>0</xdr:row>
      <xdr:rowOff>109507</xdr:rowOff>
    </xdr:from>
    <xdr:to>
      <xdr:col>0</xdr:col>
      <xdr:colOff>1099848</xdr:colOff>
      <xdr:row>0</xdr:row>
      <xdr:rowOff>941914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E2054FE-3B88-4AF4-8F21-7DAF579502A8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1" y="109507"/>
          <a:ext cx="1021407" cy="83240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279383</xdr:colOff>
      <xdr:row>0</xdr:row>
      <xdr:rowOff>56702</xdr:rowOff>
    </xdr:from>
    <xdr:to>
      <xdr:col>11</xdr:col>
      <xdr:colOff>66344</xdr:colOff>
      <xdr:row>0</xdr:row>
      <xdr:rowOff>1005049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86DF111-7F66-422F-A4EF-1E6FBC15B55F}"/>
            </a:ext>
          </a:extLst>
        </xdr:cNvPr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2442" y="56702"/>
          <a:ext cx="1131667" cy="9483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11</xdr:col>
      <xdr:colOff>321329</xdr:colOff>
      <xdr:row>0</xdr:row>
      <xdr:rowOff>0</xdr:rowOff>
    </xdr:from>
    <xdr:to>
      <xdr:col>11</xdr:col>
      <xdr:colOff>1335533</xdr:colOff>
      <xdr:row>1</xdr:row>
      <xdr:rowOff>58885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8E9A75C-1F94-4709-AAA3-E9033BA61842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94" y="0"/>
          <a:ext cx="1014204" cy="11122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73399</xdr:colOff>
      <xdr:row>126</xdr:row>
      <xdr:rowOff>153520</xdr:rowOff>
    </xdr:from>
    <xdr:to>
      <xdr:col>11</xdr:col>
      <xdr:colOff>1581150</xdr:colOff>
      <xdr:row>144</xdr:row>
      <xdr:rowOff>82918</xdr:rowOff>
    </xdr:to>
    <xdr:pic>
      <xdr:nvPicPr>
        <xdr:cNvPr id="8" name="Graphic 7" descr="Daily calendar with solid fill">
          <a:extLst>
            <a:ext uri="{FF2B5EF4-FFF2-40B4-BE49-F238E27FC236}">
              <a16:creationId xmlns:a16="http://schemas.microsoft.com/office/drawing/2014/main" id="{F770778B-E931-4913-9CA7-98B33F34C8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rcRect l="9275" t="12560" r="8792" b="9178"/>
        <a:stretch/>
      </xdr:blipFill>
      <xdr:spPr>
        <a:xfrm>
          <a:off x="7436224" y="22651570"/>
          <a:ext cx="3460376" cy="2729748"/>
        </a:xfrm>
        <a:prstGeom prst="rect">
          <a:avLst/>
        </a:prstGeom>
      </xdr:spPr>
    </xdr:pic>
    <xdr:clientData/>
  </xdr:twoCellAnchor>
  <xdr:twoCellAnchor editAs="oneCell">
    <xdr:from>
      <xdr:col>0</xdr:col>
      <xdr:colOff>479771</xdr:colOff>
      <xdr:row>21</xdr:row>
      <xdr:rowOff>1920</xdr:rowOff>
    </xdr:from>
    <xdr:to>
      <xdr:col>0</xdr:col>
      <xdr:colOff>1246255</xdr:colOff>
      <xdr:row>25</xdr:row>
      <xdr:rowOff>80603</xdr:rowOff>
    </xdr:to>
    <xdr:pic>
      <xdr:nvPicPr>
        <xdr:cNvPr id="10" name="Graphic 9" descr="Business Growth with solid fill">
          <a:extLst>
            <a:ext uri="{FF2B5EF4-FFF2-40B4-BE49-F238E27FC236}">
              <a16:creationId xmlns:a16="http://schemas.microsoft.com/office/drawing/2014/main" id="{DE0C5E90-A2F2-44C4-8D5B-869D3B2A2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479771" y="4465063"/>
          <a:ext cx="766484" cy="798501"/>
        </a:xfrm>
        <a:prstGeom prst="rect">
          <a:avLst/>
        </a:prstGeom>
      </xdr:spPr>
    </xdr:pic>
    <xdr:clientData/>
  </xdr:twoCellAnchor>
  <xdr:twoCellAnchor editAs="oneCell">
    <xdr:from>
      <xdr:col>1</xdr:col>
      <xdr:colOff>810186</xdr:colOff>
      <xdr:row>3</xdr:row>
      <xdr:rowOff>193301</xdr:rowOff>
    </xdr:from>
    <xdr:to>
      <xdr:col>3</xdr:col>
      <xdr:colOff>298956</xdr:colOff>
      <xdr:row>9</xdr:row>
      <xdr:rowOff>38099</xdr:rowOff>
    </xdr:to>
    <xdr:pic>
      <xdr:nvPicPr>
        <xdr:cNvPr id="27" name="Graphic 26" descr="Body builder with solid fill">
          <a:extLst>
            <a:ext uri="{FF2B5EF4-FFF2-40B4-BE49-F238E27FC236}">
              <a16:creationId xmlns:a16="http://schemas.microsoft.com/office/drawing/2014/main" id="{72793C2F-1F70-49E4-904B-E969CB193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2410386" y="1583951"/>
          <a:ext cx="917520" cy="930648"/>
        </a:xfrm>
        <a:prstGeom prst="rect">
          <a:avLst/>
        </a:prstGeom>
      </xdr:spPr>
    </xdr:pic>
    <xdr:clientData/>
  </xdr:twoCellAnchor>
  <xdr:twoCellAnchor>
    <xdr:from>
      <xdr:col>4</xdr:col>
      <xdr:colOff>123825</xdr:colOff>
      <xdr:row>123</xdr:row>
      <xdr:rowOff>123825</xdr:rowOff>
    </xdr:from>
    <xdr:to>
      <xdr:col>8</xdr:col>
      <xdr:colOff>542925</xdr:colOff>
      <xdr:row>147</xdr:row>
      <xdr:rowOff>152400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465C8EBC-03C4-41BE-A1C2-B74503F79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78441</xdr:colOff>
      <xdr:row>88</xdr:row>
      <xdr:rowOff>109507</xdr:rowOff>
    </xdr:from>
    <xdr:to>
      <xdr:col>0</xdr:col>
      <xdr:colOff>1099848</xdr:colOff>
      <xdr:row>88</xdr:row>
      <xdr:rowOff>941914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48CCA0FC-D70F-4C67-A9F6-E40B3EC08043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1" y="109507"/>
          <a:ext cx="1021407" cy="83240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279383</xdr:colOff>
      <xdr:row>88</xdr:row>
      <xdr:rowOff>56702</xdr:rowOff>
    </xdr:from>
    <xdr:to>
      <xdr:col>11</xdr:col>
      <xdr:colOff>66344</xdr:colOff>
      <xdr:row>88</xdr:row>
      <xdr:rowOff>1005049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CEDA8644-4AA4-4E9B-8247-404E8E71EE8F}"/>
            </a:ext>
          </a:extLst>
        </xdr:cNvPr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1808" y="56702"/>
          <a:ext cx="1129986" cy="9483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11</xdr:col>
      <xdr:colOff>388565</xdr:colOff>
      <xdr:row>88</xdr:row>
      <xdr:rowOff>134471</xdr:rowOff>
    </xdr:from>
    <xdr:to>
      <xdr:col>11</xdr:col>
      <xdr:colOff>1402769</xdr:colOff>
      <xdr:row>88</xdr:row>
      <xdr:rowOff>1000178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E0080B10-61B3-4FBA-9B8B-800146015A66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9447" y="15240000"/>
          <a:ext cx="1014204" cy="86570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78441</xdr:colOff>
      <xdr:row>168</xdr:row>
      <xdr:rowOff>109507</xdr:rowOff>
    </xdr:from>
    <xdr:to>
      <xdr:col>0</xdr:col>
      <xdr:colOff>1099848</xdr:colOff>
      <xdr:row>168</xdr:row>
      <xdr:rowOff>941914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86BDA6F9-1814-4CE5-92CA-AEEC067DD8C9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1" y="15215036"/>
          <a:ext cx="1021407" cy="83240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279383</xdr:colOff>
      <xdr:row>168</xdr:row>
      <xdr:rowOff>56702</xdr:rowOff>
    </xdr:from>
    <xdr:to>
      <xdr:col>11</xdr:col>
      <xdr:colOff>66344</xdr:colOff>
      <xdr:row>168</xdr:row>
      <xdr:rowOff>1005049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29ADD09F-7845-4EFE-BD22-E12EE6E2BD23}"/>
            </a:ext>
          </a:extLst>
        </xdr:cNvPr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5559" y="15162231"/>
          <a:ext cx="1131667" cy="9483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11</xdr:col>
      <xdr:colOff>388565</xdr:colOff>
      <xdr:row>168</xdr:row>
      <xdr:rowOff>134471</xdr:rowOff>
    </xdr:from>
    <xdr:to>
      <xdr:col>11</xdr:col>
      <xdr:colOff>1402769</xdr:colOff>
      <xdr:row>168</xdr:row>
      <xdr:rowOff>1000178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3BB595A1-3B0F-4F61-BA94-88B4AA81BBCD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9447" y="15240000"/>
          <a:ext cx="1014204" cy="86570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143436</xdr:colOff>
      <xdr:row>72</xdr:row>
      <xdr:rowOff>63873</xdr:rowOff>
    </xdr:from>
    <xdr:to>
      <xdr:col>6</xdr:col>
      <xdr:colOff>552451</xdr:colOff>
      <xdr:row>86</xdr:row>
      <xdr:rowOff>108696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DEC4E9ED-D7C8-4904-898D-7BA3D2C930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145676</xdr:colOff>
      <xdr:row>57</xdr:row>
      <xdr:rowOff>22411</xdr:rowOff>
    </xdr:from>
    <xdr:to>
      <xdr:col>6</xdr:col>
      <xdr:colOff>560294</xdr:colOff>
      <xdr:row>72</xdr:row>
      <xdr:rowOff>11206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5363EBDA-CFB9-46B9-B088-31AB84DD7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304800</xdr:colOff>
      <xdr:row>119</xdr:row>
      <xdr:rowOff>123825</xdr:rowOff>
    </xdr:from>
    <xdr:to>
      <xdr:col>5</xdr:col>
      <xdr:colOff>866775</xdr:colOff>
      <xdr:row>121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D8BA96C-8F8C-4087-87B0-19977241E229}"/>
            </a:ext>
          </a:extLst>
        </xdr:cNvPr>
        <xdr:cNvSpPr/>
      </xdr:nvSpPr>
      <xdr:spPr bwMode="auto">
        <a:xfrm>
          <a:off x="3876675" y="22174200"/>
          <a:ext cx="561975" cy="200025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7</xdr:col>
      <xdr:colOff>247650</xdr:colOff>
      <xdr:row>119</xdr:row>
      <xdr:rowOff>123825</xdr:rowOff>
    </xdr:from>
    <xdr:to>
      <xdr:col>8</xdr:col>
      <xdr:colOff>74543</xdr:colOff>
      <xdr:row>120</xdr:row>
      <xdr:rowOff>91108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98B3E35F-CDEC-4814-B171-0F485CAD86B5}"/>
            </a:ext>
          </a:extLst>
        </xdr:cNvPr>
        <xdr:cNvSpPr/>
      </xdr:nvSpPr>
      <xdr:spPr bwMode="auto">
        <a:xfrm>
          <a:off x="6393346" y="22147282"/>
          <a:ext cx="439806" cy="132935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8</xdr:col>
      <xdr:colOff>514350</xdr:colOff>
      <xdr:row>119</xdr:row>
      <xdr:rowOff>133350</xdr:rowOff>
    </xdr:from>
    <xdr:to>
      <xdr:col>9</xdr:col>
      <xdr:colOff>466725</xdr:colOff>
      <xdr:row>121</xdr:row>
      <xdr:rowOff>9525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5017A1FE-E598-4DE4-AE26-666EC38E94B4}"/>
            </a:ext>
          </a:extLst>
        </xdr:cNvPr>
        <xdr:cNvSpPr/>
      </xdr:nvSpPr>
      <xdr:spPr bwMode="auto">
        <a:xfrm>
          <a:off x="7267575" y="22183725"/>
          <a:ext cx="561975" cy="200025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28575</xdr:colOff>
      <xdr:row>119</xdr:row>
      <xdr:rowOff>133350</xdr:rowOff>
    </xdr:from>
    <xdr:to>
      <xdr:col>10</xdr:col>
      <xdr:colOff>523875</xdr:colOff>
      <xdr:row>120</xdr:row>
      <xdr:rowOff>152400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F3AAD663-B3DF-4885-A29F-95D80BE1FA74}"/>
            </a:ext>
          </a:extLst>
        </xdr:cNvPr>
        <xdr:cNvSpPr/>
      </xdr:nvSpPr>
      <xdr:spPr bwMode="auto">
        <a:xfrm>
          <a:off x="8001000" y="22183725"/>
          <a:ext cx="495300" cy="180975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847725</xdr:colOff>
      <xdr:row>119</xdr:row>
      <xdr:rowOff>152400</xdr:rowOff>
    </xdr:from>
    <xdr:to>
      <xdr:col>11</xdr:col>
      <xdr:colOff>66675</xdr:colOff>
      <xdr:row>121</xdr:row>
      <xdr:rowOff>28575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11B885CE-8EC5-4C8D-BA14-42C8510DB671}"/>
            </a:ext>
          </a:extLst>
        </xdr:cNvPr>
        <xdr:cNvSpPr/>
      </xdr:nvSpPr>
      <xdr:spPr bwMode="auto">
        <a:xfrm>
          <a:off x="8820150" y="22202775"/>
          <a:ext cx="561975" cy="200025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1123950</xdr:colOff>
      <xdr:row>119</xdr:row>
      <xdr:rowOff>142875</xdr:rowOff>
    </xdr:from>
    <xdr:to>
      <xdr:col>6</xdr:col>
      <xdr:colOff>390525</xdr:colOff>
      <xdr:row>121</xdr:row>
      <xdr:rowOff>19050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248FD6AD-10CC-4C7C-AEA8-D6BB1B679B96}"/>
            </a:ext>
          </a:extLst>
        </xdr:cNvPr>
        <xdr:cNvSpPr/>
      </xdr:nvSpPr>
      <xdr:spPr bwMode="auto">
        <a:xfrm>
          <a:off x="4695825" y="22193250"/>
          <a:ext cx="561975" cy="200025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11</xdr:col>
      <xdr:colOff>495300</xdr:colOff>
      <xdr:row>119</xdr:row>
      <xdr:rowOff>123825</xdr:rowOff>
    </xdr:from>
    <xdr:to>
      <xdr:col>11</xdr:col>
      <xdr:colOff>1057275</xdr:colOff>
      <xdr:row>121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C25212E5-F919-47E5-B2F8-280BF21148EC}"/>
            </a:ext>
          </a:extLst>
        </xdr:cNvPr>
        <xdr:cNvSpPr/>
      </xdr:nvSpPr>
      <xdr:spPr bwMode="auto">
        <a:xfrm>
          <a:off x="9810750" y="22174200"/>
          <a:ext cx="561975" cy="200025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1162050</xdr:colOff>
      <xdr:row>119</xdr:row>
      <xdr:rowOff>133350</xdr:rowOff>
    </xdr:from>
    <xdr:to>
      <xdr:col>6</xdr:col>
      <xdr:colOff>428625</xdr:colOff>
      <xdr:row>121</xdr:row>
      <xdr:rowOff>9525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46F26A24-B973-44B3-9FAA-B6A15AAEDF01}"/>
            </a:ext>
          </a:extLst>
        </xdr:cNvPr>
        <xdr:cNvSpPr/>
      </xdr:nvSpPr>
      <xdr:spPr bwMode="auto">
        <a:xfrm>
          <a:off x="4733925" y="22183725"/>
          <a:ext cx="561975" cy="200025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6</xdr:col>
      <xdr:colOff>770283</xdr:colOff>
      <xdr:row>118</xdr:row>
      <xdr:rowOff>149916</xdr:rowOff>
    </xdr:from>
    <xdr:to>
      <xdr:col>6</xdr:col>
      <xdr:colOff>1020535</xdr:colOff>
      <xdr:row>119</xdr:row>
      <xdr:rowOff>115661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2BE10425-788D-4816-9EB2-6858F0C4AE2C}"/>
            </a:ext>
          </a:extLst>
        </xdr:cNvPr>
        <xdr:cNvSpPr/>
      </xdr:nvSpPr>
      <xdr:spPr bwMode="auto">
        <a:xfrm>
          <a:off x="5634837" y="21764862"/>
          <a:ext cx="250252" cy="129031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7</xdr:col>
      <xdr:colOff>314738</xdr:colOff>
      <xdr:row>119</xdr:row>
      <xdr:rowOff>10353</xdr:rowOff>
    </xdr:from>
    <xdr:to>
      <xdr:col>7</xdr:col>
      <xdr:colOff>530087</xdr:colOff>
      <xdr:row>119</xdr:row>
      <xdr:rowOff>91108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3B0DCDE8-ABD0-41BB-A04F-F4292940C434}"/>
            </a:ext>
          </a:extLst>
        </xdr:cNvPr>
        <xdr:cNvSpPr/>
      </xdr:nvSpPr>
      <xdr:spPr bwMode="auto">
        <a:xfrm>
          <a:off x="6460434" y="22033810"/>
          <a:ext cx="215349" cy="80755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152400</xdr:colOff>
      <xdr:row>119</xdr:row>
      <xdr:rowOff>104775</xdr:rowOff>
    </xdr:from>
    <xdr:to>
      <xdr:col>10</xdr:col>
      <xdr:colOff>714375</xdr:colOff>
      <xdr:row>120</xdr:row>
      <xdr:rowOff>142875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5F22D857-110D-4017-B74F-F10476D33590}"/>
            </a:ext>
          </a:extLst>
        </xdr:cNvPr>
        <xdr:cNvSpPr/>
      </xdr:nvSpPr>
      <xdr:spPr bwMode="auto">
        <a:xfrm>
          <a:off x="8124825" y="22155150"/>
          <a:ext cx="561975" cy="200025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463826</xdr:colOff>
      <xdr:row>118</xdr:row>
      <xdr:rowOff>150331</xdr:rowOff>
    </xdr:from>
    <xdr:to>
      <xdr:col>5</xdr:col>
      <xdr:colOff>709406</xdr:colOff>
      <xdr:row>119</xdr:row>
      <xdr:rowOff>149086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14D123E-0E31-4B01-BA0B-78467564A9D3}"/>
            </a:ext>
          </a:extLst>
        </xdr:cNvPr>
        <xdr:cNvSpPr/>
      </xdr:nvSpPr>
      <xdr:spPr bwMode="auto">
        <a:xfrm>
          <a:off x="4041913" y="22008135"/>
          <a:ext cx="245580" cy="164408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1283804</xdr:colOff>
      <xdr:row>119</xdr:row>
      <xdr:rowOff>0</xdr:rowOff>
    </xdr:from>
    <xdr:to>
      <xdr:col>6</xdr:col>
      <xdr:colOff>231913</xdr:colOff>
      <xdr:row>119</xdr:row>
      <xdr:rowOff>99391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5A5FFB8A-8B1E-4208-ACD5-4F1CD7CC0899}"/>
            </a:ext>
          </a:extLst>
        </xdr:cNvPr>
        <xdr:cNvSpPr/>
      </xdr:nvSpPr>
      <xdr:spPr bwMode="auto">
        <a:xfrm>
          <a:off x="4861891" y="22023457"/>
          <a:ext cx="240196" cy="99391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6</xdr:col>
      <xdr:colOff>342900</xdr:colOff>
      <xdr:row>119</xdr:row>
      <xdr:rowOff>9526</xdr:rowOff>
    </xdr:from>
    <xdr:to>
      <xdr:col>6</xdr:col>
      <xdr:colOff>637761</xdr:colOff>
      <xdr:row>119</xdr:row>
      <xdr:rowOff>107674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DDD86741-76B7-482C-95FF-3FAEF03C6695}"/>
            </a:ext>
          </a:extLst>
        </xdr:cNvPr>
        <xdr:cNvSpPr/>
      </xdr:nvSpPr>
      <xdr:spPr bwMode="auto">
        <a:xfrm>
          <a:off x="5213074" y="22032983"/>
          <a:ext cx="294861" cy="98148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6</xdr:col>
      <xdr:colOff>1149803</xdr:colOff>
      <xdr:row>118</xdr:row>
      <xdr:rowOff>137492</xdr:rowOff>
    </xdr:from>
    <xdr:to>
      <xdr:col>7</xdr:col>
      <xdr:colOff>113057</xdr:colOff>
      <xdr:row>119</xdr:row>
      <xdr:rowOff>95250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E63033C2-DD8F-4E65-AC59-CCC808083E9A}"/>
            </a:ext>
          </a:extLst>
        </xdr:cNvPr>
        <xdr:cNvSpPr/>
      </xdr:nvSpPr>
      <xdr:spPr bwMode="auto">
        <a:xfrm>
          <a:off x="6014357" y="21752438"/>
          <a:ext cx="242325" cy="121044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8</xdr:col>
      <xdr:colOff>74543</xdr:colOff>
      <xdr:row>118</xdr:row>
      <xdr:rowOff>135009</xdr:rowOff>
    </xdr:from>
    <xdr:to>
      <xdr:col>8</xdr:col>
      <xdr:colOff>275397</xdr:colOff>
      <xdr:row>119</xdr:row>
      <xdr:rowOff>132522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ACF81D-168D-4351-BA6E-2BC54DCC417B}"/>
            </a:ext>
          </a:extLst>
        </xdr:cNvPr>
        <xdr:cNvSpPr/>
      </xdr:nvSpPr>
      <xdr:spPr bwMode="auto">
        <a:xfrm>
          <a:off x="6833152" y="21992813"/>
          <a:ext cx="200854" cy="163166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8</xdr:col>
      <xdr:colOff>346213</xdr:colOff>
      <xdr:row>118</xdr:row>
      <xdr:rowOff>135007</xdr:rowOff>
    </xdr:from>
    <xdr:to>
      <xdr:col>9</xdr:col>
      <xdr:colOff>76200</xdr:colOff>
      <xdr:row>119</xdr:row>
      <xdr:rowOff>144531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F90D80A5-61C5-4B84-95A4-FD7D36EE0929}"/>
            </a:ext>
          </a:extLst>
        </xdr:cNvPr>
        <xdr:cNvSpPr/>
      </xdr:nvSpPr>
      <xdr:spPr bwMode="auto">
        <a:xfrm>
          <a:off x="7104822" y="21992811"/>
          <a:ext cx="342900" cy="175177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9</xdr:col>
      <xdr:colOff>273326</xdr:colOff>
      <xdr:row>119</xdr:row>
      <xdr:rowOff>1</xdr:rowOff>
    </xdr:from>
    <xdr:to>
      <xdr:col>9</xdr:col>
      <xdr:colOff>503168</xdr:colOff>
      <xdr:row>120</xdr:row>
      <xdr:rowOff>36859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B12B6801-D1F2-4DAF-83E6-C227A143A7A7}"/>
            </a:ext>
          </a:extLst>
        </xdr:cNvPr>
        <xdr:cNvSpPr/>
      </xdr:nvSpPr>
      <xdr:spPr bwMode="auto">
        <a:xfrm>
          <a:off x="7644848" y="22023458"/>
          <a:ext cx="229842" cy="202510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16565</xdr:colOff>
      <xdr:row>119</xdr:row>
      <xdr:rowOff>8282</xdr:rowOff>
    </xdr:from>
    <xdr:to>
      <xdr:col>10</xdr:col>
      <xdr:colOff>237711</xdr:colOff>
      <xdr:row>120</xdr:row>
      <xdr:rowOff>16566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A3C6EBE-6A2E-43C7-9E99-86FAC76EFBF0}"/>
            </a:ext>
          </a:extLst>
        </xdr:cNvPr>
        <xdr:cNvSpPr/>
      </xdr:nvSpPr>
      <xdr:spPr bwMode="auto">
        <a:xfrm>
          <a:off x="8001000" y="22031739"/>
          <a:ext cx="221146" cy="173936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317224</xdr:colOff>
      <xdr:row>118</xdr:row>
      <xdr:rowOff>129209</xdr:rowOff>
    </xdr:from>
    <xdr:to>
      <xdr:col>10</xdr:col>
      <xdr:colOff>660124</xdr:colOff>
      <xdr:row>119</xdr:row>
      <xdr:rowOff>138733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7BC398F-30D4-44FA-A3D0-3FF112E62EB9}"/>
            </a:ext>
          </a:extLst>
        </xdr:cNvPr>
        <xdr:cNvSpPr/>
      </xdr:nvSpPr>
      <xdr:spPr bwMode="auto">
        <a:xfrm>
          <a:off x="8301659" y="21987013"/>
          <a:ext cx="342900" cy="175177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1151283</xdr:colOff>
      <xdr:row>119</xdr:row>
      <xdr:rowOff>19878</xdr:rowOff>
    </xdr:from>
    <xdr:to>
      <xdr:col>11</xdr:col>
      <xdr:colOff>132523</xdr:colOff>
      <xdr:row>119</xdr:row>
      <xdr:rowOff>132522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A569D4DE-84A5-42F3-B765-BA8BADCDB168}"/>
            </a:ext>
          </a:extLst>
        </xdr:cNvPr>
        <xdr:cNvSpPr/>
      </xdr:nvSpPr>
      <xdr:spPr bwMode="auto">
        <a:xfrm>
          <a:off x="9135718" y="22043335"/>
          <a:ext cx="323022" cy="112644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11</xdr:col>
      <xdr:colOff>298173</xdr:colOff>
      <xdr:row>118</xdr:row>
      <xdr:rowOff>159856</xdr:rowOff>
    </xdr:from>
    <xdr:to>
      <xdr:col>11</xdr:col>
      <xdr:colOff>516834</xdr:colOff>
      <xdr:row>119</xdr:row>
      <xdr:rowOff>115957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EBF7A9B1-C888-43EB-A39B-30088E808631}"/>
            </a:ext>
          </a:extLst>
        </xdr:cNvPr>
        <xdr:cNvSpPr/>
      </xdr:nvSpPr>
      <xdr:spPr bwMode="auto">
        <a:xfrm>
          <a:off x="9624390" y="22017660"/>
          <a:ext cx="218661" cy="121754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 editAs="oneCell">
    <xdr:from>
      <xdr:col>1</xdr:col>
      <xdr:colOff>419100</xdr:colOff>
      <xdr:row>20</xdr:row>
      <xdr:rowOff>95250</xdr:rowOff>
    </xdr:from>
    <xdr:to>
      <xdr:col>2</xdr:col>
      <xdr:colOff>514350</xdr:colOff>
      <xdr:row>25</xdr:row>
      <xdr:rowOff>133350</xdr:rowOff>
    </xdr:to>
    <xdr:pic>
      <xdr:nvPicPr>
        <xdr:cNvPr id="11" name="Graphic 10" descr="Bullseye with solid fill">
          <a:extLst>
            <a:ext uri="{FF2B5EF4-FFF2-40B4-BE49-F238E27FC236}">
              <a16:creationId xmlns:a16="http://schemas.microsoft.com/office/drawing/2014/main" id="{1B955ED1-3327-49C7-B42F-71FBE6D38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019300" y="4591050"/>
          <a:ext cx="914400" cy="914400"/>
        </a:xfrm>
        <a:prstGeom prst="rect">
          <a:avLst/>
        </a:prstGeom>
      </xdr:spPr>
    </xdr:pic>
    <xdr:clientData/>
  </xdr:twoCellAnchor>
  <xdr:twoCellAnchor>
    <xdr:from>
      <xdr:col>11</xdr:col>
      <xdr:colOff>1060173</xdr:colOff>
      <xdr:row>119</xdr:row>
      <xdr:rowOff>9525</xdr:rowOff>
    </xdr:from>
    <xdr:to>
      <xdr:col>11</xdr:col>
      <xdr:colOff>1333084</xdr:colOff>
      <xdr:row>120</xdr:row>
      <xdr:rowOff>8282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BA726781-B43F-42B2-B72B-CA2B863104F6}"/>
            </a:ext>
          </a:extLst>
        </xdr:cNvPr>
        <xdr:cNvSpPr/>
      </xdr:nvSpPr>
      <xdr:spPr bwMode="auto">
        <a:xfrm>
          <a:off x="10386390" y="22032982"/>
          <a:ext cx="272911" cy="164409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0</xdr:col>
      <xdr:colOff>38100</xdr:colOff>
      <xdr:row>237</xdr:row>
      <xdr:rowOff>38101</xdr:rowOff>
    </xdr:from>
    <xdr:to>
      <xdr:col>5</xdr:col>
      <xdr:colOff>200024</xdr:colOff>
      <xdr:row>248</xdr:row>
      <xdr:rowOff>9526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166FD28B-4871-43D7-B1FD-B3E11DA27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28576</xdr:colOff>
      <xdr:row>248</xdr:row>
      <xdr:rowOff>38100</xdr:rowOff>
    </xdr:from>
    <xdr:to>
      <xdr:col>5</xdr:col>
      <xdr:colOff>190501</xdr:colOff>
      <xdr:row>259</xdr:row>
      <xdr:rowOff>85725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6DD96B93-E351-48C7-BDE8-923741CFBD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228600</xdr:colOff>
      <xdr:row>237</xdr:row>
      <xdr:rowOff>47625</xdr:rowOff>
    </xdr:from>
    <xdr:to>
      <xdr:col>11</xdr:col>
      <xdr:colOff>1619250</xdr:colOff>
      <xdr:row>259</xdr:row>
      <xdr:rowOff>91109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F172BFED-769C-4385-9344-3AB167522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28575</xdr:colOff>
      <xdr:row>188</xdr:row>
      <xdr:rowOff>47625</xdr:rowOff>
    </xdr:from>
    <xdr:to>
      <xdr:col>5</xdr:col>
      <xdr:colOff>257175</xdr:colOff>
      <xdr:row>203</xdr:row>
      <xdr:rowOff>19050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3735A2D3-4EBC-4A59-80C5-376BE2F2FB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8</xdr:col>
      <xdr:colOff>526624</xdr:colOff>
      <xdr:row>188</xdr:row>
      <xdr:rowOff>51288</xdr:rowOff>
    </xdr:from>
    <xdr:to>
      <xdr:col>11</xdr:col>
      <xdr:colOff>1575289</xdr:colOff>
      <xdr:row>203</xdr:row>
      <xdr:rowOff>21981</xdr:rowOff>
    </xdr:to>
    <xdr:graphicFrame macro="">
      <xdr:nvGraphicFramePr>
        <xdr:cNvPr id="94" name="Chart 93">
          <a:extLst>
            <a:ext uri="{FF2B5EF4-FFF2-40B4-BE49-F238E27FC236}">
              <a16:creationId xmlns:a16="http://schemas.microsoft.com/office/drawing/2014/main" id="{B082AFE7-793F-4996-AC4F-4D27A47C5A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49695</xdr:colOff>
      <xdr:row>203</xdr:row>
      <xdr:rowOff>74544</xdr:rowOff>
    </xdr:from>
    <xdr:to>
      <xdr:col>5</xdr:col>
      <xdr:colOff>256761</xdr:colOff>
      <xdr:row>219</xdr:row>
      <xdr:rowOff>24849</xdr:rowOff>
    </xdr:to>
    <xdr:graphicFrame macro="">
      <xdr:nvGraphicFramePr>
        <xdr:cNvPr id="98" name="Chart 97">
          <a:extLst>
            <a:ext uri="{FF2B5EF4-FFF2-40B4-BE49-F238E27FC236}">
              <a16:creationId xmlns:a16="http://schemas.microsoft.com/office/drawing/2014/main" id="{4A6F9002-3769-4D1B-91F8-83D483F99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</xdr:col>
      <xdr:colOff>306457</xdr:colOff>
      <xdr:row>203</xdr:row>
      <xdr:rowOff>66261</xdr:rowOff>
    </xdr:from>
    <xdr:to>
      <xdr:col>8</xdr:col>
      <xdr:colOff>521804</xdr:colOff>
      <xdr:row>219</xdr:row>
      <xdr:rowOff>49696</xdr:rowOff>
    </xdr:to>
    <xdr:graphicFrame macro="">
      <xdr:nvGraphicFramePr>
        <xdr:cNvPr id="105" name="Chart 104">
          <a:extLst>
            <a:ext uri="{FF2B5EF4-FFF2-40B4-BE49-F238E27FC236}">
              <a16:creationId xmlns:a16="http://schemas.microsoft.com/office/drawing/2014/main" id="{3499AD68-F0B5-40FD-93EF-DDD0C96B2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</xdr:col>
      <xdr:colOff>289034</xdr:colOff>
      <xdr:row>188</xdr:row>
      <xdr:rowOff>39415</xdr:rowOff>
    </xdr:from>
    <xdr:to>
      <xdr:col>8</xdr:col>
      <xdr:colOff>499241</xdr:colOff>
      <xdr:row>203</xdr:row>
      <xdr:rowOff>28576</xdr:rowOff>
    </xdr:to>
    <xdr:graphicFrame macro="">
      <xdr:nvGraphicFramePr>
        <xdr:cNvPr id="108" name="Chart 107">
          <a:extLst>
            <a:ext uri="{FF2B5EF4-FFF2-40B4-BE49-F238E27FC236}">
              <a16:creationId xmlns:a16="http://schemas.microsoft.com/office/drawing/2014/main" id="{57E4B5EE-A7E4-4EB3-8797-66CD7EB25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8</xdr:col>
      <xdr:colOff>549520</xdr:colOff>
      <xdr:row>203</xdr:row>
      <xdr:rowOff>58616</xdr:rowOff>
    </xdr:from>
    <xdr:to>
      <xdr:col>11</xdr:col>
      <xdr:colOff>1573696</xdr:colOff>
      <xdr:row>219</xdr:row>
      <xdr:rowOff>41413</xdr:rowOff>
    </xdr:to>
    <xdr:graphicFrame macro="">
      <xdr:nvGraphicFramePr>
        <xdr:cNvPr id="109" name="Chart 108">
          <a:extLst>
            <a:ext uri="{FF2B5EF4-FFF2-40B4-BE49-F238E27FC236}">
              <a16:creationId xmlns:a16="http://schemas.microsoft.com/office/drawing/2014/main" id="{41785A51-F2E5-485D-9E38-509BF1325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57150</xdr:colOff>
      <xdr:row>219</xdr:row>
      <xdr:rowOff>76200</xdr:rowOff>
    </xdr:from>
    <xdr:to>
      <xdr:col>5</xdr:col>
      <xdr:colOff>247649</xdr:colOff>
      <xdr:row>235</xdr:row>
      <xdr:rowOff>104775</xdr:rowOff>
    </xdr:to>
    <xdr:graphicFrame macro="">
      <xdr:nvGraphicFramePr>
        <xdr:cNvPr id="110" name="Chart 109">
          <a:extLst>
            <a:ext uri="{FF2B5EF4-FFF2-40B4-BE49-F238E27FC236}">
              <a16:creationId xmlns:a16="http://schemas.microsoft.com/office/drawing/2014/main" id="{6004DC08-FF57-4871-A4B5-10446C5E0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</xdr:col>
      <xdr:colOff>285750</xdr:colOff>
      <xdr:row>219</xdr:row>
      <xdr:rowOff>95250</xdr:rowOff>
    </xdr:from>
    <xdr:to>
      <xdr:col>8</xdr:col>
      <xdr:colOff>552450</xdr:colOff>
      <xdr:row>235</xdr:row>
      <xdr:rowOff>133350</xdr:rowOff>
    </xdr:to>
    <xdr:graphicFrame macro="">
      <xdr:nvGraphicFramePr>
        <xdr:cNvPr id="111" name="Chart 110">
          <a:extLst>
            <a:ext uri="{FF2B5EF4-FFF2-40B4-BE49-F238E27FC236}">
              <a16:creationId xmlns:a16="http://schemas.microsoft.com/office/drawing/2014/main" id="{C706F00B-4203-4C96-8C2E-7B6E0B7CF8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8</xdr:col>
      <xdr:colOff>571500</xdr:colOff>
      <xdr:row>219</xdr:row>
      <xdr:rowOff>85724</xdr:rowOff>
    </xdr:from>
    <xdr:to>
      <xdr:col>11</xdr:col>
      <xdr:colOff>1590675</xdr:colOff>
      <xdr:row>235</xdr:row>
      <xdr:rowOff>133349</xdr:rowOff>
    </xdr:to>
    <xdr:graphicFrame macro="">
      <xdr:nvGraphicFramePr>
        <xdr:cNvPr id="112" name="Chart 111">
          <a:extLst>
            <a:ext uri="{FF2B5EF4-FFF2-40B4-BE49-F238E27FC236}">
              <a16:creationId xmlns:a16="http://schemas.microsoft.com/office/drawing/2014/main" id="{5BD99723-1417-45D7-BE0B-1437458FC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0</xdr:col>
      <xdr:colOff>76200</xdr:colOff>
      <xdr:row>171</xdr:row>
      <xdr:rowOff>47625</xdr:rowOff>
    </xdr:from>
    <xdr:to>
      <xdr:col>11</xdr:col>
      <xdr:colOff>1628774</xdr:colOff>
      <xdr:row>186</xdr:row>
      <xdr:rowOff>114300</xdr:rowOff>
    </xdr:to>
    <xdr:graphicFrame macro="">
      <xdr:nvGraphicFramePr>
        <xdr:cNvPr id="113" name="Chart 2">
          <a:extLst>
            <a:ext uri="{FF2B5EF4-FFF2-40B4-BE49-F238E27FC236}">
              <a16:creationId xmlns:a16="http://schemas.microsoft.com/office/drawing/2014/main" id="{98694C20-515B-4592-B2A1-664558634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</xdr:col>
      <xdr:colOff>864704</xdr:colOff>
      <xdr:row>118</xdr:row>
      <xdr:rowOff>112231</xdr:rowOff>
    </xdr:from>
    <xdr:to>
      <xdr:col>5</xdr:col>
      <xdr:colOff>1110284</xdr:colOff>
      <xdr:row>119</xdr:row>
      <xdr:rowOff>110986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E40EC6AD-694D-4866-89AC-344352AACA46}"/>
            </a:ext>
          </a:extLst>
        </xdr:cNvPr>
        <xdr:cNvSpPr/>
      </xdr:nvSpPr>
      <xdr:spPr bwMode="auto">
        <a:xfrm>
          <a:off x="4442791" y="21970035"/>
          <a:ext cx="245580" cy="164408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8</xdr:col>
      <xdr:colOff>226943</xdr:colOff>
      <xdr:row>119</xdr:row>
      <xdr:rowOff>121756</xdr:rowOff>
    </xdr:from>
    <xdr:to>
      <xdr:col>8</xdr:col>
      <xdr:colOff>427797</xdr:colOff>
      <xdr:row>120</xdr:row>
      <xdr:rowOff>119270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E3EBB6E-A7FB-425A-898C-B26D54532CE2}"/>
            </a:ext>
          </a:extLst>
        </xdr:cNvPr>
        <xdr:cNvSpPr/>
      </xdr:nvSpPr>
      <xdr:spPr bwMode="auto">
        <a:xfrm>
          <a:off x="6985552" y="22145213"/>
          <a:ext cx="200854" cy="163166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853108</xdr:colOff>
      <xdr:row>118</xdr:row>
      <xdr:rowOff>155715</xdr:rowOff>
    </xdr:from>
    <xdr:to>
      <xdr:col>10</xdr:col>
      <xdr:colOff>1083365</xdr:colOff>
      <xdr:row>119</xdr:row>
      <xdr:rowOff>107674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40A5EFED-A9CA-4611-89A2-92B139AB7807}"/>
            </a:ext>
          </a:extLst>
        </xdr:cNvPr>
        <xdr:cNvSpPr/>
      </xdr:nvSpPr>
      <xdr:spPr bwMode="auto">
        <a:xfrm>
          <a:off x="8837543" y="22013519"/>
          <a:ext cx="230257" cy="117612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11</xdr:col>
      <xdr:colOff>649355</xdr:colOff>
      <xdr:row>118</xdr:row>
      <xdr:rowOff>153643</xdr:rowOff>
    </xdr:from>
    <xdr:to>
      <xdr:col>11</xdr:col>
      <xdr:colOff>922266</xdr:colOff>
      <xdr:row>119</xdr:row>
      <xdr:rowOff>152399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77141EC7-2021-4809-87BD-012CC62D0634}"/>
            </a:ext>
          </a:extLst>
        </xdr:cNvPr>
        <xdr:cNvSpPr/>
      </xdr:nvSpPr>
      <xdr:spPr bwMode="auto">
        <a:xfrm>
          <a:off x="9975572" y="22011447"/>
          <a:ext cx="272911" cy="164409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ZA" sz="1100"/>
        </a:p>
      </xdr:txBody>
    </xdr:sp>
    <xdr:clientData/>
  </xdr:twoCellAnchor>
  <xdr:twoCellAnchor>
    <xdr:from>
      <xdr:col>0</xdr:col>
      <xdr:colOff>112059</xdr:colOff>
      <xdr:row>123</xdr:row>
      <xdr:rowOff>112058</xdr:rowOff>
    </xdr:from>
    <xdr:to>
      <xdr:col>3</xdr:col>
      <xdr:colOff>280147</xdr:colOff>
      <xdr:row>147</xdr:row>
      <xdr:rowOff>123265</xdr:rowOff>
    </xdr:to>
    <xdr:graphicFrame macro="">
      <xdr:nvGraphicFramePr>
        <xdr:cNvPr id="121" name="Chart 120">
          <a:extLst>
            <a:ext uri="{FF2B5EF4-FFF2-40B4-BE49-F238E27FC236}">
              <a16:creationId xmlns:a16="http://schemas.microsoft.com/office/drawing/2014/main" id="{70A6D66D-12C7-4A90-A645-A66F8F16ED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0</xdr:col>
      <xdr:colOff>100852</xdr:colOff>
      <xdr:row>148</xdr:row>
      <xdr:rowOff>78441</xdr:rowOff>
    </xdr:from>
    <xdr:to>
      <xdr:col>11</xdr:col>
      <xdr:colOff>1580029</xdr:colOff>
      <xdr:row>167</xdr:row>
      <xdr:rowOff>23253</xdr:rowOff>
    </xdr:to>
    <xdr:graphicFrame macro="">
      <xdr:nvGraphicFramePr>
        <xdr:cNvPr id="122" name="Chart 121">
          <a:extLst>
            <a:ext uri="{FF2B5EF4-FFF2-40B4-BE49-F238E27FC236}">
              <a16:creationId xmlns:a16="http://schemas.microsoft.com/office/drawing/2014/main" id="{D84B8CDD-7EDB-4AB8-98E4-C3FF69BFEA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123826</xdr:colOff>
      <xdr:row>92</xdr:row>
      <xdr:rowOff>114301</xdr:rowOff>
    </xdr:from>
    <xdr:to>
      <xdr:col>4</xdr:col>
      <xdr:colOff>133351</xdr:colOff>
      <xdr:row>107</xdr:row>
      <xdr:rowOff>28576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36385FD3-3304-4D1E-BF72-036F0DCDD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104775</xdr:colOff>
      <xdr:row>107</xdr:row>
      <xdr:rowOff>95250</xdr:rowOff>
    </xdr:from>
    <xdr:to>
      <xdr:col>4</xdr:col>
      <xdr:colOff>161925</xdr:colOff>
      <xdr:row>121</xdr:row>
      <xdr:rowOff>104775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CDB8584B-B454-4AC2-BADB-B76D7DFC9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4</xdr:col>
      <xdr:colOff>180975</xdr:colOff>
      <xdr:row>92</xdr:row>
      <xdr:rowOff>104775</xdr:rowOff>
    </xdr:from>
    <xdr:to>
      <xdr:col>11</xdr:col>
      <xdr:colOff>1581150</xdr:colOff>
      <xdr:row>121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F695F1-9D53-430F-BA09-D956B0170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562350" y="17345025"/>
          <a:ext cx="7334250" cy="4743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0</xdr:row>
      <xdr:rowOff>114300</xdr:rowOff>
    </xdr:from>
    <xdr:to>
      <xdr:col>14</xdr:col>
      <xdr:colOff>342900</xdr:colOff>
      <xdr:row>21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998B86-59D3-4011-A827-E9593B3D0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0</xdr:row>
      <xdr:rowOff>28575</xdr:rowOff>
    </xdr:from>
    <xdr:to>
      <xdr:col>17</xdr:col>
      <xdr:colOff>228600</xdr:colOff>
      <xdr:row>21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44BE78-9FA5-4ABF-94A5-1D80276D4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590551</xdr:colOff>
      <xdr:row>6</xdr:row>
      <xdr:rowOff>9526</xdr:rowOff>
    </xdr:from>
    <xdr:to>
      <xdr:col>13</xdr:col>
      <xdr:colOff>104776</xdr:colOff>
      <xdr:row>29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EBA5D2-D523-45CD-B96C-F932F17B7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0</xdr:row>
      <xdr:rowOff>28575</xdr:rowOff>
    </xdr:from>
    <xdr:to>
      <xdr:col>17</xdr:col>
      <xdr:colOff>228600</xdr:colOff>
      <xdr:row>21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44B861-CD50-48BD-9A4A-4F5FD1306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0</xdr:row>
      <xdr:rowOff>114300</xdr:rowOff>
    </xdr:from>
    <xdr:to>
      <xdr:col>14</xdr:col>
      <xdr:colOff>342900</xdr:colOff>
      <xdr:row>21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9FC3D2-EFDF-474E-A210-DBDC0A950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428627</xdr:colOff>
      <xdr:row>0</xdr:row>
      <xdr:rowOff>9525</xdr:rowOff>
    </xdr:from>
    <xdr:to>
      <xdr:col>12</xdr:col>
      <xdr:colOff>257175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55DF2B-1537-4672-8A2D-DAD8AABB6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304802</xdr:colOff>
      <xdr:row>4</xdr:row>
      <xdr:rowOff>123826</xdr:rowOff>
    </xdr:from>
    <xdr:to>
      <xdr:col>14</xdr:col>
      <xdr:colOff>276226</xdr:colOff>
      <xdr:row>24</xdr:row>
      <xdr:rowOff>104776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158C4D-FA2F-4482-AEA3-C6C009111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209550</xdr:colOff>
      <xdr:row>15</xdr:row>
      <xdr:rowOff>85725</xdr:rowOff>
    </xdr:from>
    <xdr:to>
      <xdr:col>3</xdr:col>
      <xdr:colOff>485444</xdr:colOff>
      <xdr:row>24</xdr:row>
      <xdr:rowOff>66495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EB9DAE-7118-45B9-B524-633BC0644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2514600"/>
          <a:ext cx="2647619" cy="143809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2</xdr:row>
      <xdr:rowOff>38100</xdr:rowOff>
    </xdr:from>
    <xdr:to>
      <xdr:col>10</xdr:col>
      <xdr:colOff>295275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9FA3A4-BA23-4625-B9D1-B82F5D59D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257177</xdr:colOff>
      <xdr:row>0</xdr:row>
      <xdr:rowOff>114301</xdr:rowOff>
    </xdr:from>
    <xdr:to>
      <xdr:col>11</xdr:col>
      <xdr:colOff>228601</xdr:colOff>
      <xdr:row>20</xdr:row>
      <xdr:rowOff>95251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4C95F-6ABA-4B78-BA21-064488B19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0</xdr:row>
      <xdr:rowOff>114300</xdr:rowOff>
    </xdr:from>
    <xdr:to>
      <xdr:col>14</xdr:col>
      <xdr:colOff>342900</xdr:colOff>
      <xdr:row>21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56994F-BAE5-4999-AECC-9F23B007F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umim/SHEQ/SHE%20System/14.Management%20Walk%20About/Walkabout%20Audit%20Germiston%2009.07.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umim/SHEQ/Q%20System/7.Scrap%20Report/YTD%20Scrap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on List"/>
      <sheetName val="Sheet1"/>
      <sheetName val="Open Items Status (2)"/>
      <sheetName val="Open Items Status"/>
    </sheetNames>
    <sheetDataSet>
      <sheetData sheetId="0"/>
      <sheetData sheetId="1"/>
      <sheetData sheetId="2"/>
      <sheetData sheetId="3">
        <row r="7">
          <cell r="B7" t="str">
            <v>Percentage Closed</v>
          </cell>
          <cell r="C7">
            <v>0.75268817204301075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Hammers"/>
      <sheetName val="Iron Tools"/>
      <sheetName val="Handles"/>
    </sheetNames>
    <sheetDataSet>
      <sheetData sheetId="0">
        <row r="345">
          <cell r="C345" t="str">
            <v>PRODUCED</v>
          </cell>
          <cell r="D345" t="str">
            <v>SCRAP QTY</v>
          </cell>
          <cell r="E345" t="str">
            <v>SCRAP%</v>
          </cell>
          <cell r="F345" t="str">
            <v>SCRAP VALUE</v>
          </cell>
        </row>
        <row r="346">
          <cell r="B346" t="str">
            <v>HAMMERS</v>
          </cell>
          <cell r="C346">
            <v>299339</v>
          </cell>
          <cell r="D346">
            <v>1020</v>
          </cell>
          <cell r="E346">
            <v>3.407507875686095E-3</v>
          </cell>
          <cell r="F346">
            <v>100991.41</v>
          </cell>
        </row>
        <row r="347">
          <cell r="B347" t="str">
            <v>IRON TOOLS</v>
          </cell>
          <cell r="C347">
            <v>169814</v>
          </cell>
          <cell r="D347">
            <v>484</v>
          </cell>
          <cell r="E347">
            <v>2.8501772527589008E-3</v>
          </cell>
          <cell r="F347">
            <v>20273.460000000003</v>
          </cell>
        </row>
        <row r="348">
          <cell r="B348" t="str">
            <v>HANDLES</v>
          </cell>
          <cell r="C348">
            <v>288090</v>
          </cell>
          <cell r="D348">
            <v>944</v>
          </cell>
          <cell r="E348">
            <v>3.2767537922177097E-3</v>
          </cell>
          <cell r="F348">
            <v>19956.25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mi Masilela" refreshedDate="46065.335366087966" createdVersion="7" refreshedVersion="7" minRefreshableVersion="3" recordCount="58" xr:uid="{E19603A6-466F-42AC-91E8-62D9C9CE9200}">
  <cacheSource type="worksheet">
    <worksheetSource ref="C1:M1048576" sheet="SAFETY DATA"/>
  </cacheSource>
  <cacheFields count="11">
    <cacheField name="Month" numFmtId="0">
      <sharedItems containsBlank="1" count="15">
        <s v="Jul"/>
        <s v="Aug"/>
        <s v="Sep"/>
        <s v="Oct"/>
        <s v="Nov"/>
        <s v="Dec"/>
        <s v="Jan"/>
        <s v="Feb"/>
        <s v="Mar"/>
        <s v="Apr"/>
        <s v="May"/>
        <s v="Jun"/>
        <m/>
        <s v="June" u="1"/>
        <s v="July" u="1"/>
      </sharedItems>
    </cacheField>
    <cacheField name="Year" numFmtId="0">
      <sharedItems containsString="0" containsBlank="1" containsNumber="1" containsInteger="1" minValue="2023" maxValue="2025" count="4">
        <n v="2023"/>
        <n v="2024"/>
        <n v="2025"/>
        <m/>
      </sharedItems>
    </cacheField>
    <cacheField name="Name" numFmtId="0">
      <sharedItems containsBlank="1"/>
    </cacheField>
    <cacheField name="Department" numFmtId="0">
      <sharedItems containsBlank="1" containsMixedTypes="1" containsNumber="1" containsInteger="1" minValue="0" maxValue="0"/>
    </cacheField>
    <cacheField name="Time lost(hours)" numFmtId="0">
      <sharedItems containsString="0" containsBlank="1" containsNumber="1" minValue="0" maxValue="200"/>
    </cacheField>
    <cacheField name="Incident Catergory" numFmtId="0">
      <sharedItems containsBlank="1" containsMixedTypes="1" containsNumber="1" containsInteger="1" minValue="0" maxValue="0" count="4">
        <n v="0"/>
        <s v="LTI"/>
        <s v="First Aid"/>
        <m/>
      </sharedItems>
    </cacheField>
    <cacheField name="Body Part Injured" numFmtId="0">
      <sharedItems containsBlank="1" containsMixedTypes="1" containsNumber="1" containsInteger="1" minValue="0" maxValue="0"/>
    </cacheField>
    <cacheField name="Total" numFmtId="0">
      <sharedItems containsString="0" containsBlank="1" containsNumber="1" containsInteger="1" minValue="0" maxValue="1"/>
    </cacheField>
    <cacheField name="Description of Injury" numFmtId="0">
      <sharedItems containsBlank="1"/>
    </cacheField>
    <cacheField name="Age" numFmtId="0">
      <sharedItems containsNonDate="0" containsString="0" containsBlank="1"/>
    </cacheField>
    <cacheField name="Type of injury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mi Masilela" refreshedDate="46065.335366782405" createdVersion="7" refreshedVersion="7" minRefreshableVersion="3" recordCount="58" xr:uid="{B54A5C81-9548-448B-8A41-3D482F6912AE}">
  <cacheSource type="worksheet">
    <worksheetSource ref="A1:J1048576" sheet="SAFETY DATA"/>
  </cacheSource>
  <cacheFields count="10">
    <cacheField name="Day" numFmtId="0">
      <sharedItems containsDate="1" containsBlank="1" containsMixedTypes="1" minDate="2004-11-01T00:00:00" maxDate="2025-11-01T00:00:00"/>
    </cacheField>
    <cacheField name="Day of Week" numFmtId="0">
      <sharedItems containsBlank="1"/>
    </cacheField>
    <cacheField name="Month" numFmtId="0">
      <sharedItems containsBlank="1"/>
    </cacheField>
    <cacheField name="Year" numFmtId="0">
      <sharedItems containsString="0" containsBlank="1" containsNumber="1" containsInteger="1" minValue="2023" maxValue="2025" count="4">
        <n v="2023"/>
        <n v="2024"/>
        <n v="2025"/>
        <m/>
      </sharedItems>
    </cacheField>
    <cacheField name="Name" numFmtId="0">
      <sharedItems containsBlank="1"/>
    </cacheField>
    <cacheField name="Department" numFmtId="0">
      <sharedItems containsBlank="1" containsMixedTypes="1" containsNumber="1" containsInteger="1" minValue="0" maxValue="0" count="7">
        <n v="0"/>
        <s v="Iron Tools"/>
        <s v="HAMMERS"/>
        <s v="MAINTENANCE"/>
        <s v="RAKES"/>
        <s v="Warehouse"/>
        <m/>
      </sharedItems>
    </cacheField>
    <cacheField name="Time lost(hours)" numFmtId="0">
      <sharedItems containsString="0" containsBlank="1" containsNumber="1" minValue="0" maxValue="200"/>
    </cacheField>
    <cacheField name="Incident Catergory" numFmtId="0">
      <sharedItems containsBlank="1" containsMixedTypes="1" containsNumber="1" containsInteger="1" minValue="0" maxValue="0" count="4">
        <n v="0"/>
        <s v="LTI"/>
        <s v="First Aid"/>
        <m/>
      </sharedItems>
    </cacheField>
    <cacheField name="Body Part Injured" numFmtId="0">
      <sharedItems containsBlank="1" containsMixedTypes="1" containsNumber="1" containsInteger="1" minValue="0" maxValue="0"/>
    </cacheField>
    <cacheField name="Total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mi Masilela" refreshedDate="46065.335367939813" createdVersion="7" refreshedVersion="7" minRefreshableVersion="3" recordCount="58" xr:uid="{D5B86317-8EDF-448E-99F2-804FDBDE933A}">
  <cacheSource type="worksheet">
    <worksheetSource ref="A1:M1048576" sheet="SAFETY DATA"/>
  </cacheSource>
  <cacheFields count="13">
    <cacheField name="Day" numFmtId="0">
      <sharedItems containsDate="1" containsBlank="1" containsMixedTypes="1" minDate="2004-11-01T00:00:00" maxDate="2025-11-01T00:00:00"/>
    </cacheField>
    <cacheField name="Day of Week" numFmtId="0">
      <sharedItems containsBlank="1" count="10">
        <m/>
        <s v="THURSDAY"/>
        <s v="FRIDAY"/>
        <s v="WEDNESDAY"/>
        <s v="TUESDAY"/>
        <s v="MONDAY"/>
        <s v="WED" u="1"/>
        <s v="TUES" u="1"/>
        <s v="FRI" u="1"/>
        <s v="THURS" u="1"/>
      </sharedItems>
    </cacheField>
    <cacheField name="Month" numFmtId="0">
      <sharedItems containsBlank="1" count="14">
        <s v="Jul"/>
        <s v="Aug"/>
        <s v="Sep"/>
        <s v="Oct"/>
        <s v="Nov"/>
        <s v="Dec"/>
        <s v="Jan"/>
        <s v="Feb"/>
        <s v="Mar"/>
        <s v="Apr"/>
        <s v="May"/>
        <s v="Jun"/>
        <m/>
        <s v="July" u="1"/>
      </sharedItems>
    </cacheField>
    <cacheField name="Year" numFmtId="0">
      <sharedItems containsString="0" containsBlank="1" containsNumber="1" containsInteger="1" minValue="2023" maxValue="2025" count="4">
        <n v="2023"/>
        <n v="2024"/>
        <n v="2025"/>
        <m/>
      </sharedItems>
    </cacheField>
    <cacheField name="Name" numFmtId="0">
      <sharedItems containsBlank="1"/>
    </cacheField>
    <cacheField name="Department" numFmtId="0">
      <sharedItems containsBlank="1" containsMixedTypes="1" containsNumber="1" containsInteger="1" minValue="0" maxValue="0"/>
    </cacheField>
    <cacheField name="Time lost(hours)" numFmtId="0">
      <sharedItems containsString="0" containsBlank="1" containsNumber="1" minValue="0" maxValue="200"/>
    </cacheField>
    <cacheField name="Incident Catergory" numFmtId="0">
      <sharedItems containsBlank="1" containsMixedTypes="1" containsNumber="1" containsInteger="1" minValue="0" maxValue="0" count="4">
        <n v="0"/>
        <s v="LTI"/>
        <s v="First Aid"/>
        <m/>
      </sharedItems>
    </cacheField>
    <cacheField name="Body Part Injured" numFmtId="0">
      <sharedItems containsBlank="1" containsMixedTypes="1" containsNumber="1" containsInteger="1" minValue="0" maxValue="0" count="6">
        <n v="0"/>
        <s v="Hand"/>
        <s v="Head"/>
        <s v="Eyes"/>
        <s v="Foot"/>
        <m/>
      </sharedItems>
    </cacheField>
    <cacheField name="Total" numFmtId="0">
      <sharedItems containsString="0" containsBlank="1" containsNumber="1" containsInteger="1" minValue="0" maxValue="1"/>
    </cacheField>
    <cacheField name="Description of Injury" numFmtId="0">
      <sharedItems containsBlank="1"/>
    </cacheField>
    <cacheField name="Age" numFmtId="0">
      <sharedItems containsNonDate="0" containsString="0" containsBlank="1"/>
    </cacheField>
    <cacheField name="Type of injury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x v="0"/>
    <x v="0"/>
    <m/>
    <n v="0"/>
    <n v="0"/>
    <x v="0"/>
    <n v="0"/>
    <n v="0"/>
    <m/>
    <m/>
    <m/>
  </r>
  <r>
    <x v="1"/>
    <x v="0"/>
    <m/>
    <n v="0"/>
    <n v="0"/>
    <x v="0"/>
    <n v="0"/>
    <n v="0"/>
    <m/>
    <m/>
    <m/>
  </r>
  <r>
    <x v="2"/>
    <x v="0"/>
    <m/>
    <n v="0"/>
    <n v="0"/>
    <x v="0"/>
    <n v="0"/>
    <n v="0"/>
    <m/>
    <m/>
    <m/>
  </r>
  <r>
    <x v="3"/>
    <x v="0"/>
    <m/>
    <n v="0"/>
    <n v="0"/>
    <x v="0"/>
    <n v="0"/>
    <n v="0"/>
    <m/>
    <m/>
    <m/>
  </r>
  <r>
    <x v="4"/>
    <x v="0"/>
    <s v="K Khoza"/>
    <s v="Iron Tools"/>
    <n v="22.84"/>
    <x v="1"/>
    <s v="Hand"/>
    <n v="1"/>
    <s v="While polishing hammers, the head slipped and he injured his left thum nail"/>
    <m/>
    <m/>
  </r>
  <r>
    <x v="5"/>
    <x v="0"/>
    <m/>
    <n v="0"/>
    <n v="0"/>
    <x v="0"/>
    <n v="0"/>
    <n v="0"/>
    <m/>
    <m/>
    <m/>
  </r>
  <r>
    <x v="6"/>
    <x v="1"/>
    <s v="M Khanyile"/>
    <s v="HAMMERS"/>
    <n v="2"/>
    <x v="1"/>
    <s v="Head"/>
    <n v="1"/>
    <s v="Crowbar fell onto head."/>
    <m/>
    <m/>
  </r>
  <r>
    <x v="6"/>
    <x v="1"/>
    <m/>
    <n v="0"/>
    <n v="0"/>
    <x v="2"/>
    <n v="0"/>
    <n v="0"/>
    <m/>
    <m/>
    <m/>
  </r>
  <r>
    <x v="7"/>
    <x v="1"/>
    <s v="A Lamprecht"/>
    <s v="MAINTENANCE"/>
    <n v="80"/>
    <x v="1"/>
    <s v="Hand"/>
    <n v="1"/>
    <s v="Machine Part fell onto finger making a cut."/>
    <m/>
    <m/>
  </r>
  <r>
    <x v="7"/>
    <x v="1"/>
    <m/>
    <n v="0"/>
    <n v="0"/>
    <x v="2"/>
    <n v="0"/>
    <n v="0"/>
    <m/>
    <m/>
    <m/>
  </r>
  <r>
    <x v="8"/>
    <x v="1"/>
    <s v="A Lamprecht"/>
    <s v="MAINTENANCE"/>
    <n v="200"/>
    <x v="1"/>
    <s v="Hand"/>
    <n v="0"/>
    <m/>
    <m/>
    <m/>
  </r>
  <r>
    <x v="8"/>
    <x v="1"/>
    <m/>
    <n v="0"/>
    <n v="0"/>
    <x v="2"/>
    <n v="0"/>
    <n v="0"/>
    <m/>
    <m/>
    <m/>
  </r>
  <r>
    <x v="9"/>
    <x v="1"/>
    <s v="S Baloyi"/>
    <s v="HAMMERS"/>
    <n v="40.22"/>
    <x v="1"/>
    <s v="Eyes"/>
    <n v="1"/>
    <s v="Foreign object went into eye while grinding"/>
    <m/>
    <m/>
  </r>
  <r>
    <x v="9"/>
    <x v="1"/>
    <s v="T Khanyile"/>
    <s v="HAMMERS"/>
    <n v="0"/>
    <x v="1"/>
    <s v="Foot"/>
    <n v="1"/>
    <s v="Twisted ankle while getting off forklift"/>
    <m/>
    <m/>
  </r>
  <r>
    <x v="9"/>
    <x v="1"/>
    <s v="A Lamprecht"/>
    <s v="MAINTENANCE"/>
    <n v="88.5"/>
    <x v="1"/>
    <s v="Hand"/>
    <n v="0"/>
    <m/>
    <m/>
    <m/>
  </r>
  <r>
    <x v="9"/>
    <x v="1"/>
    <m/>
    <n v="0"/>
    <n v="0"/>
    <x v="2"/>
    <n v="0"/>
    <n v="0"/>
    <m/>
    <m/>
    <m/>
  </r>
  <r>
    <x v="10"/>
    <x v="1"/>
    <s v="T Khanyile"/>
    <s v="HAMMERS"/>
    <n v="29.63"/>
    <x v="1"/>
    <s v="Foot"/>
    <n v="0"/>
    <m/>
    <m/>
    <m/>
  </r>
  <r>
    <x v="10"/>
    <x v="1"/>
    <s v="A Lamprecht"/>
    <s v="MAINTENANCE"/>
    <n v="9.01"/>
    <x v="1"/>
    <s v="Hand"/>
    <n v="0"/>
    <m/>
    <m/>
    <m/>
  </r>
  <r>
    <x v="10"/>
    <x v="1"/>
    <m/>
    <n v="0"/>
    <n v="0"/>
    <x v="2"/>
    <n v="0"/>
    <n v="0"/>
    <m/>
    <m/>
    <m/>
  </r>
  <r>
    <x v="11"/>
    <x v="1"/>
    <m/>
    <n v="0"/>
    <n v="0"/>
    <x v="1"/>
    <n v="0"/>
    <n v="0"/>
    <m/>
    <m/>
    <m/>
  </r>
  <r>
    <x v="11"/>
    <x v="1"/>
    <m/>
    <n v="0"/>
    <n v="0"/>
    <x v="2"/>
    <n v="0"/>
    <n v="0"/>
    <m/>
    <m/>
    <m/>
  </r>
  <r>
    <x v="0"/>
    <x v="1"/>
    <s v="N Majola"/>
    <s v="HAMMERS"/>
    <n v="0"/>
    <x v="2"/>
    <s v="Hand"/>
    <n v="1"/>
    <s v="Bumped hand against bin injuring finger."/>
    <m/>
    <m/>
  </r>
  <r>
    <x v="0"/>
    <x v="1"/>
    <s v="S Ndlovu"/>
    <s v="RAKES"/>
    <n v="0"/>
    <x v="2"/>
    <s v="Hand"/>
    <n v="1"/>
    <s v="Cut finger while trying to cut string"/>
    <m/>
    <m/>
  </r>
  <r>
    <x v="0"/>
    <x v="1"/>
    <s v="A Lamprecht"/>
    <s v="MAINTENANCE"/>
    <n v="143"/>
    <x v="1"/>
    <s v="Hand"/>
    <n v="0"/>
    <m/>
    <m/>
    <m/>
  </r>
  <r>
    <x v="1"/>
    <x v="1"/>
    <s v="T Mpongose"/>
    <s v="HAMMERS"/>
    <n v="2.09"/>
    <x v="1"/>
    <s v="Hand"/>
    <n v="1"/>
    <s v="Cut middle finger while drilling double head slashers"/>
    <m/>
    <m/>
  </r>
  <r>
    <x v="1"/>
    <x v="1"/>
    <s v="T Motaung"/>
    <s v="HAMMERS"/>
    <n v="0"/>
    <x v="2"/>
    <s v="Hand"/>
    <n v="1"/>
    <s v="Cut finger while putting on rubber protection on the 1.8kg axe."/>
    <m/>
    <m/>
  </r>
  <r>
    <x v="1"/>
    <x v="1"/>
    <s v="A Lamprecht"/>
    <s v="MAINTENANCE"/>
    <n v="132.1"/>
    <x v="1"/>
    <s v="Hand"/>
    <n v="0"/>
    <m/>
    <m/>
    <m/>
  </r>
  <r>
    <x v="2"/>
    <x v="1"/>
    <s v="A Lamprecht"/>
    <s v="MAINTENANCE"/>
    <n v="6.27"/>
    <x v="1"/>
    <s v="Hand"/>
    <n v="0"/>
    <m/>
    <m/>
    <m/>
  </r>
  <r>
    <x v="2"/>
    <x v="1"/>
    <m/>
    <n v="0"/>
    <n v="0"/>
    <x v="2"/>
    <n v="0"/>
    <n v="0"/>
    <m/>
    <m/>
    <m/>
  </r>
  <r>
    <x v="3"/>
    <x v="1"/>
    <m/>
    <n v="0"/>
    <n v="0"/>
    <x v="2"/>
    <n v="0"/>
    <n v="0"/>
    <m/>
    <m/>
    <m/>
  </r>
  <r>
    <x v="3"/>
    <x v="1"/>
    <s v="A Lamprecht"/>
    <s v="MAINTENANCE"/>
    <n v="7.29"/>
    <x v="1"/>
    <s v="Hand"/>
    <n v="0"/>
    <m/>
    <m/>
    <m/>
  </r>
  <r>
    <x v="4"/>
    <x v="1"/>
    <s v="A Lamprecht"/>
    <s v="MAINTENANCE"/>
    <n v="0"/>
    <x v="2"/>
    <n v="0"/>
    <n v="0"/>
    <m/>
    <m/>
    <m/>
  </r>
  <r>
    <x v="4"/>
    <x v="1"/>
    <s v="A Lamprecht"/>
    <s v="MAINTENANCE"/>
    <n v="3"/>
    <x v="1"/>
    <s v="Hand"/>
    <n v="0"/>
    <m/>
    <m/>
    <m/>
  </r>
  <r>
    <x v="5"/>
    <x v="1"/>
    <s v="A Lamprecht"/>
    <s v="MAINTENANCE"/>
    <n v="0"/>
    <x v="2"/>
    <n v="0"/>
    <n v="0"/>
    <m/>
    <m/>
    <m/>
  </r>
  <r>
    <x v="5"/>
    <x v="1"/>
    <s v="A Lamprecht"/>
    <s v="MAINTENANCE"/>
    <n v="0"/>
    <x v="1"/>
    <n v="0"/>
    <n v="0"/>
    <m/>
    <m/>
    <m/>
  </r>
  <r>
    <x v="6"/>
    <x v="2"/>
    <s v="A Lamprecht"/>
    <s v="MAINTENANCE"/>
    <n v="0"/>
    <x v="2"/>
    <n v="0"/>
    <n v="0"/>
    <m/>
    <m/>
    <m/>
  </r>
  <r>
    <x v="6"/>
    <x v="2"/>
    <s v="A Lamprecht"/>
    <s v="MAINTENANCE"/>
    <n v="0"/>
    <x v="1"/>
    <n v="0"/>
    <n v="0"/>
    <m/>
    <m/>
    <m/>
  </r>
  <r>
    <x v="7"/>
    <x v="2"/>
    <s v="A Lamprecht"/>
    <s v="MAINTENANCE"/>
    <n v="0"/>
    <x v="2"/>
    <n v="0"/>
    <n v="0"/>
    <m/>
    <m/>
    <m/>
  </r>
  <r>
    <x v="7"/>
    <x v="2"/>
    <s v="A Lamprecht"/>
    <s v="MAINTENANCE"/>
    <n v="0"/>
    <x v="1"/>
    <n v="0"/>
    <n v="0"/>
    <m/>
    <m/>
    <m/>
  </r>
  <r>
    <x v="8"/>
    <x v="2"/>
    <s v="A Lamprecht"/>
    <s v="MAINTENANCE"/>
    <n v="0"/>
    <x v="2"/>
    <n v="0"/>
    <n v="0"/>
    <m/>
    <m/>
    <m/>
  </r>
  <r>
    <x v="8"/>
    <x v="2"/>
    <s v="A Lamprecht"/>
    <s v="MAINTENANCE"/>
    <n v="0"/>
    <x v="1"/>
    <n v="0"/>
    <n v="0"/>
    <m/>
    <m/>
    <m/>
  </r>
  <r>
    <x v="9"/>
    <x v="2"/>
    <s v="A Lamprecht"/>
    <s v="MAINTENANCE"/>
    <n v="0"/>
    <x v="2"/>
    <n v="0"/>
    <n v="0"/>
    <m/>
    <m/>
    <m/>
  </r>
  <r>
    <x v="9"/>
    <x v="2"/>
    <s v="A Lamprecht"/>
    <s v="MAINTENANCE"/>
    <n v="1.92"/>
    <x v="1"/>
    <n v="0"/>
    <n v="0"/>
    <m/>
    <m/>
    <m/>
  </r>
  <r>
    <x v="10"/>
    <x v="2"/>
    <s v="A Lamprecht"/>
    <s v="MAINTENANCE"/>
    <n v="9.77"/>
    <x v="2"/>
    <n v="0"/>
    <n v="0"/>
    <m/>
    <m/>
    <m/>
  </r>
  <r>
    <x v="10"/>
    <x v="2"/>
    <s v="A Lamprecht"/>
    <s v="MAINTENANCE"/>
    <n v="0"/>
    <x v="1"/>
    <n v="0"/>
    <n v="0"/>
    <m/>
    <m/>
    <m/>
  </r>
  <r>
    <x v="11"/>
    <x v="2"/>
    <s v="A Mthembu"/>
    <s v="Warehouse"/>
    <n v="3.22"/>
    <x v="1"/>
    <s v="Foot"/>
    <n v="1"/>
    <s v="Pallet fell on right leg above ankle"/>
    <m/>
    <m/>
  </r>
  <r>
    <x v="11"/>
    <x v="2"/>
    <s v="A Lamprecht"/>
    <s v="MAINTENANCE"/>
    <n v="9.5399999999999991"/>
    <x v="1"/>
    <m/>
    <n v="0"/>
    <m/>
    <m/>
    <m/>
  </r>
  <r>
    <x v="0"/>
    <x v="2"/>
    <s v="A Mthembu"/>
    <s v="Warehouse"/>
    <n v="24.76"/>
    <x v="1"/>
    <n v="0"/>
    <n v="0"/>
    <m/>
    <m/>
    <m/>
  </r>
  <r>
    <x v="0"/>
    <x v="2"/>
    <s v="A Lamprecht"/>
    <s v="MAINTENANCE"/>
    <n v="0"/>
    <x v="2"/>
    <n v="0"/>
    <n v="0"/>
    <m/>
    <m/>
    <m/>
  </r>
  <r>
    <x v="1"/>
    <x v="2"/>
    <s v="A Lamprecht"/>
    <s v="MAINTENANCE"/>
    <n v="23"/>
    <x v="1"/>
    <n v="0"/>
    <n v="0"/>
    <m/>
    <m/>
    <m/>
  </r>
  <r>
    <x v="1"/>
    <x v="2"/>
    <s v="A Lamprecht"/>
    <s v="MAINTENANCE"/>
    <n v="0"/>
    <x v="2"/>
    <n v="0"/>
    <n v="0"/>
    <m/>
    <m/>
    <m/>
  </r>
  <r>
    <x v="2"/>
    <x v="2"/>
    <m/>
    <m/>
    <n v="5.44"/>
    <x v="1"/>
    <n v="0"/>
    <n v="0"/>
    <m/>
    <m/>
    <m/>
  </r>
  <r>
    <x v="2"/>
    <x v="2"/>
    <s v="A Lamprecht"/>
    <s v="MAINTENANCE"/>
    <n v="0"/>
    <x v="2"/>
    <n v="0"/>
    <n v="0"/>
    <m/>
    <m/>
    <m/>
  </r>
  <r>
    <x v="3"/>
    <x v="2"/>
    <s v="T Masilo"/>
    <s v="HAMMERS"/>
    <n v="14.08"/>
    <x v="1"/>
    <s v="Hand"/>
    <n v="1"/>
    <s v="Club hammer fell on left pinky finger. Swelling of finger."/>
    <m/>
    <m/>
  </r>
  <r>
    <x v="3"/>
    <x v="2"/>
    <s v="A Lamprecht"/>
    <s v="MAINTENANCE"/>
    <n v="0"/>
    <x v="2"/>
    <n v="0"/>
    <n v="0"/>
    <m/>
    <m/>
    <m/>
  </r>
  <r>
    <x v="4"/>
    <x v="2"/>
    <m/>
    <m/>
    <m/>
    <x v="3"/>
    <m/>
    <m/>
    <m/>
    <m/>
    <m/>
  </r>
  <r>
    <x v="5"/>
    <x v="2"/>
    <m/>
    <m/>
    <m/>
    <x v="3"/>
    <m/>
    <m/>
    <m/>
    <m/>
    <m/>
  </r>
  <r>
    <x v="12"/>
    <x v="3"/>
    <m/>
    <m/>
    <m/>
    <x v="3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m/>
    <m/>
    <s v="Jul"/>
    <x v="0"/>
    <m/>
    <x v="0"/>
    <n v="0"/>
    <x v="0"/>
    <n v="0"/>
    <n v="0"/>
  </r>
  <r>
    <m/>
    <m/>
    <s v="Aug"/>
    <x v="0"/>
    <m/>
    <x v="0"/>
    <n v="0"/>
    <x v="0"/>
    <n v="0"/>
    <n v="0"/>
  </r>
  <r>
    <m/>
    <m/>
    <s v="Sep"/>
    <x v="0"/>
    <m/>
    <x v="0"/>
    <n v="0"/>
    <x v="0"/>
    <n v="0"/>
    <n v="0"/>
  </r>
  <r>
    <m/>
    <m/>
    <s v="Oct"/>
    <x v="0"/>
    <m/>
    <x v="0"/>
    <n v="0"/>
    <x v="0"/>
    <n v="0"/>
    <n v="0"/>
  </r>
  <r>
    <d v="2023-11-16T00:00:00"/>
    <s v="THURSDAY"/>
    <s v="Nov"/>
    <x v="0"/>
    <s v="K Khoza"/>
    <x v="1"/>
    <n v="22.84"/>
    <x v="1"/>
    <s v="Hand"/>
    <n v="1"/>
  </r>
  <r>
    <m/>
    <m/>
    <s v="Dec"/>
    <x v="0"/>
    <m/>
    <x v="0"/>
    <n v="0"/>
    <x v="0"/>
    <n v="0"/>
    <n v="0"/>
  </r>
  <r>
    <s v="19/01/2024."/>
    <s v="FRIDAY"/>
    <s v="Jan"/>
    <x v="1"/>
    <s v="M Khanyile"/>
    <x v="2"/>
    <n v="2"/>
    <x v="1"/>
    <s v="Head"/>
    <n v="1"/>
  </r>
  <r>
    <m/>
    <m/>
    <s v="Jan"/>
    <x v="1"/>
    <m/>
    <x v="0"/>
    <n v="0"/>
    <x v="2"/>
    <n v="0"/>
    <n v="0"/>
  </r>
  <r>
    <d v="2024-02-07T00:00:00"/>
    <s v="WEDNESDAY"/>
    <s v="Feb"/>
    <x v="1"/>
    <s v="A Lamprecht"/>
    <x v="3"/>
    <n v="80"/>
    <x v="1"/>
    <s v="Hand"/>
    <n v="1"/>
  </r>
  <r>
    <m/>
    <m/>
    <s v="Feb"/>
    <x v="1"/>
    <m/>
    <x v="0"/>
    <n v="0"/>
    <x v="2"/>
    <n v="0"/>
    <n v="0"/>
  </r>
  <r>
    <m/>
    <m/>
    <s v="Mar"/>
    <x v="1"/>
    <s v="A Lamprecht"/>
    <x v="3"/>
    <n v="200"/>
    <x v="1"/>
    <s v="Hand"/>
    <n v="0"/>
  </r>
  <r>
    <m/>
    <m/>
    <s v="Mar"/>
    <x v="1"/>
    <m/>
    <x v="0"/>
    <n v="0"/>
    <x v="2"/>
    <n v="0"/>
    <n v="0"/>
  </r>
  <r>
    <d v="2025-04-12T00:00:00"/>
    <s v="FRIDAY"/>
    <s v="Apr"/>
    <x v="1"/>
    <s v="S Baloyi"/>
    <x v="2"/>
    <n v="40.22"/>
    <x v="1"/>
    <s v="Eyes"/>
    <n v="1"/>
  </r>
  <r>
    <d v="2024-05-14T00:00:00"/>
    <s v="TUESDAY"/>
    <s v="Apr"/>
    <x v="1"/>
    <s v="T Khanyile"/>
    <x v="2"/>
    <n v="0"/>
    <x v="1"/>
    <s v="Foot"/>
    <n v="1"/>
  </r>
  <r>
    <m/>
    <m/>
    <s v="Apr"/>
    <x v="1"/>
    <s v="A Lamprecht"/>
    <x v="3"/>
    <n v="88.5"/>
    <x v="1"/>
    <s v="Hand"/>
    <n v="0"/>
  </r>
  <r>
    <m/>
    <m/>
    <s v="Apr"/>
    <x v="1"/>
    <m/>
    <x v="0"/>
    <n v="0"/>
    <x v="2"/>
    <n v="0"/>
    <n v="0"/>
  </r>
  <r>
    <m/>
    <m/>
    <s v="May"/>
    <x v="1"/>
    <s v="T Khanyile"/>
    <x v="2"/>
    <n v="29.63"/>
    <x v="1"/>
    <s v="Foot"/>
    <n v="0"/>
  </r>
  <r>
    <m/>
    <m/>
    <s v="May"/>
    <x v="1"/>
    <s v="A Lamprecht"/>
    <x v="3"/>
    <n v="9.01"/>
    <x v="1"/>
    <s v="Hand"/>
    <n v="0"/>
  </r>
  <r>
    <m/>
    <m/>
    <s v="May"/>
    <x v="1"/>
    <m/>
    <x v="0"/>
    <n v="0"/>
    <x v="2"/>
    <n v="0"/>
    <n v="0"/>
  </r>
  <r>
    <m/>
    <s v="MONDAY"/>
    <s v="Jun"/>
    <x v="1"/>
    <m/>
    <x v="0"/>
    <n v="0"/>
    <x v="1"/>
    <n v="0"/>
    <n v="0"/>
  </r>
  <r>
    <m/>
    <s v="THURSDAY"/>
    <s v="Jun"/>
    <x v="1"/>
    <m/>
    <x v="0"/>
    <n v="0"/>
    <x v="2"/>
    <n v="0"/>
    <n v="0"/>
  </r>
  <r>
    <d v="2024-07-12T00:00:00"/>
    <s v="FRIDAY"/>
    <s v="Jul"/>
    <x v="1"/>
    <s v="N Majola"/>
    <x v="2"/>
    <n v="0"/>
    <x v="2"/>
    <s v="Hand"/>
    <n v="1"/>
  </r>
  <r>
    <d v="2024-07-23T00:00:00"/>
    <s v="TUESDAY"/>
    <s v="Jul"/>
    <x v="1"/>
    <s v="S Ndlovu"/>
    <x v="4"/>
    <n v="0"/>
    <x v="2"/>
    <s v="Hand"/>
    <n v="1"/>
  </r>
  <r>
    <m/>
    <m/>
    <s v="Jul"/>
    <x v="1"/>
    <s v="A Lamprecht"/>
    <x v="3"/>
    <n v="143"/>
    <x v="1"/>
    <s v="Hand"/>
    <n v="0"/>
  </r>
  <r>
    <d v="2024-08-02T00:00:00"/>
    <s v="FRIDAY"/>
    <s v="Aug"/>
    <x v="1"/>
    <s v="T Mpongose"/>
    <x v="2"/>
    <n v="2.09"/>
    <x v="1"/>
    <s v="Hand"/>
    <n v="1"/>
  </r>
  <r>
    <d v="2024-08-08T00:00:00"/>
    <s v="THURSDAY"/>
    <s v="Aug"/>
    <x v="1"/>
    <s v="T Motaung"/>
    <x v="2"/>
    <n v="0"/>
    <x v="2"/>
    <s v="Hand"/>
    <n v="1"/>
  </r>
  <r>
    <m/>
    <m/>
    <s v="Aug"/>
    <x v="1"/>
    <s v="A Lamprecht"/>
    <x v="3"/>
    <n v="132.1"/>
    <x v="1"/>
    <s v="Hand"/>
    <n v="0"/>
  </r>
  <r>
    <m/>
    <m/>
    <s v="Sep"/>
    <x v="1"/>
    <s v="A Lamprecht"/>
    <x v="3"/>
    <n v="6.27"/>
    <x v="1"/>
    <s v="Hand"/>
    <n v="0"/>
  </r>
  <r>
    <m/>
    <m/>
    <s v="Sep"/>
    <x v="1"/>
    <m/>
    <x v="0"/>
    <n v="0"/>
    <x v="2"/>
    <n v="0"/>
    <n v="0"/>
  </r>
  <r>
    <m/>
    <m/>
    <s v="Oct"/>
    <x v="1"/>
    <m/>
    <x v="0"/>
    <n v="0"/>
    <x v="2"/>
    <n v="0"/>
    <n v="0"/>
  </r>
  <r>
    <m/>
    <m/>
    <s v="Oct"/>
    <x v="1"/>
    <s v="A Lamprecht"/>
    <x v="3"/>
    <n v="7.29"/>
    <x v="1"/>
    <s v="Hand"/>
    <n v="0"/>
  </r>
  <r>
    <d v="2004-11-01T00:00:00"/>
    <m/>
    <s v="Nov"/>
    <x v="1"/>
    <s v="A Lamprecht"/>
    <x v="3"/>
    <n v="0"/>
    <x v="2"/>
    <n v="0"/>
    <n v="0"/>
  </r>
  <r>
    <m/>
    <m/>
    <s v="Nov"/>
    <x v="1"/>
    <s v="A Lamprecht"/>
    <x v="3"/>
    <n v="3"/>
    <x v="1"/>
    <s v="Hand"/>
    <n v="0"/>
  </r>
  <r>
    <d v="2024-12-01T00:00:00"/>
    <m/>
    <s v="Dec"/>
    <x v="1"/>
    <s v="A Lamprecht"/>
    <x v="3"/>
    <n v="0"/>
    <x v="2"/>
    <n v="0"/>
    <n v="0"/>
  </r>
  <r>
    <m/>
    <m/>
    <s v="Dec"/>
    <x v="1"/>
    <s v="A Lamprecht"/>
    <x v="3"/>
    <n v="0"/>
    <x v="1"/>
    <n v="0"/>
    <n v="0"/>
  </r>
  <r>
    <d v="2025-01-01T00:00:00"/>
    <m/>
    <s v="Jan"/>
    <x v="2"/>
    <s v="A Lamprecht"/>
    <x v="3"/>
    <n v="0"/>
    <x v="2"/>
    <n v="0"/>
    <n v="0"/>
  </r>
  <r>
    <m/>
    <m/>
    <s v="Jan"/>
    <x v="2"/>
    <s v="A Lamprecht"/>
    <x v="3"/>
    <n v="0"/>
    <x v="1"/>
    <n v="0"/>
    <n v="0"/>
  </r>
  <r>
    <d v="2025-01-01T00:00:00"/>
    <m/>
    <s v="Feb"/>
    <x v="2"/>
    <s v="A Lamprecht"/>
    <x v="3"/>
    <n v="0"/>
    <x v="2"/>
    <n v="0"/>
    <n v="0"/>
  </r>
  <r>
    <m/>
    <m/>
    <s v="Feb"/>
    <x v="2"/>
    <s v="A Lamprecht"/>
    <x v="3"/>
    <n v="0"/>
    <x v="1"/>
    <n v="0"/>
    <n v="0"/>
  </r>
  <r>
    <d v="2025-03-01T00:00:00"/>
    <m/>
    <s v="Mar"/>
    <x v="2"/>
    <s v="A Lamprecht"/>
    <x v="3"/>
    <n v="0"/>
    <x v="2"/>
    <n v="0"/>
    <n v="0"/>
  </r>
  <r>
    <m/>
    <m/>
    <s v="Mar"/>
    <x v="2"/>
    <s v="A Lamprecht"/>
    <x v="3"/>
    <n v="0"/>
    <x v="1"/>
    <n v="0"/>
    <n v="0"/>
  </r>
  <r>
    <d v="2025-04-01T00:00:00"/>
    <m/>
    <s v="Apr"/>
    <x v="2"/>
    <s v="A Lamprecht"/>
    <x v="3"/>
    <n v="0"/>
    <x v="2"/>
    <n v="0"/>
    <n v="0"/>
  </r>
  <r>
    <m/>
    <m/>
    <s v="Apr"/>
    <x v="2"/>
    <s v="A Lamprecht"/>
    <x v="3"/>
    <n v="1.92"/>
    <x v="1"/>
    <n v="0"/>
    <n v="0"/>
  </r>
  <r>
    <d v="2025-05-01T00:00:00"/>
    <m/>
    <s v="May"/>
    <x v="2"/>
    <s v="A Lamprecht"/>
    <x v="3"/>
    <n v="9.77"/>
    <x v="2"/>
    <n v="0"/>
    <n v="0"/>
  </r>
  <r>
    <m/>
    <m/>
    <s v="May"/>
    <x v="2"/>
    <s v="A Lamprecht"/>
    <x v="3"/>
    <n v="0"/>
    <x v="1"/>
    <n v="0"/>
    <n v="0"/>
  </r>
  <r>
    <d v="2025-06-13T00:00:00"/>
    <s v="FRIDAY"/>
    <s v="Jun"/>
    <x v="2"/>
    <s v="A Mthembu"/>
    <x v="5"/>
    <n v="3.22"/>
    <x v="1"/>
    <s v="Foot"/>
    <n v="1"/>
  </r>
  <r>
    <m/>
    <m/>
    <s v="Jun"/>
    <x v="2"/>
    <s v="A Lamprecht"/>
    <x v="3"/>
    <n v="9.5399999999999991"/>
    <x v="1"/>
    <m/>
    <n v="0"/>
  </r>
  <r>
    <d v="2025-07-01T00:00:00"/>
    <m/>
    <s v="Jul"/>
    <x v="2"/>
    <s v="A Mthembu"/>
    <x v="5"/>
    <n v="24.76"/>
    <x v="1"/>
    <n v="0"/>
    <n v="0"/>
  </r>
  <r>
    <m/>
    <m/>
    <s v="Jul"/>
    <x v="2"/>
    <s v="A Lamprecht"/>
    <x v="3"/>
    <n v="0"/>
    <x v="2"/>
    <n v="0"/>
    <n v="0"/>
  </r>
  <r>
    <d v="2025-08-01T00:00:00"/>
    <m/>
    <s v="Aug"/>
    <x v="2"/>
    <s v="A Lamprecht"/>
    <x v="3"/>
    <n v="23"/>
    <x v="1"/>
    <n v="0"/>
    <n v="0"/>
  </r>
  <r>
    <m/>
    <m/>
    <s v="Aug"/>
    <x v="2"/>
    <s v="A Lamprecht"/>
    <x v="3"/>
    <n v="0"/>
    <x v="2"/>
    <n v="0"/>
    <n v="0"/>
  </r>
  <r>
    <d v="2025-09-01T00:00:00"/>
    <m/>
    <s v="Sep"/>
    <x v="2"/>
    <m/>
    <x v="6"/>
    <n v="5.44"/>
    <x v="1"/>
    <n v="0"/>
    <n v="0"/>
  </r>
  <r>
    <m/>
    <m/>
    <s v="Sep"/>
    <x v="2"/>
    <s v="A Lamprecht"/>
    <x v="3"/>
    <n v="0"/>
    <x v="2"/>
    <n v="0"/>
    <n v="0"/>
  </r>
  <r>
    <d v="2025-10-31T00:00:00"/>
    <s v="FRIDAY"/>
    <s v="Oct"/>
    <x v="2"/>
    <s v="T Masilo"/>
    <x v="2"/>
    <n v="14.08"/>
    <x v="1"/>
    <s v="Hand"/>
    <n v="1"/>
  </r>
  <r>
    <m/>
    <m/>
    <s v="Oct"/>
    <x v="2"/>
    <s v="A Lamprecht"/>
    <x v="3"/>
    <n v="0"/>
    <x v="2"/>
    <n v="0"/>
    <n v="0"/>
  </r>
  <r>
    <m/>
    <m/>
    <s v="Nov"/>
    <x v="2"/>
    <m/>
    <x v="6"/>
    <m/>
    <x v="3"/>
    <m/>
    <m/>
  </r>
  <r>
    <m/>
    <m/>
    <s v="Dec"/>
    <x v="2"/>
    <m/>
    <x v="6"/>
    <m/>
    <x v="3"/>
    <m/>
    <m/>
  </r>
  <r>
    <m/>
    <m/>
    <m/>
    <x v="3"/>
    <m/>
    <x v="6"/>
    <m/>
    <x v="3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m/>
    <x v="0"/>
    <x v="0"/>
    <x v="0"/>
    <m/>
    <n v="0"/>
    <n v="0"/>
    <x v="0"/>
    <x v="0"/>
    <n v="0"/>
    <m/>
    <m/>
    <m/>
  </r>
  <r>
    <m/>
    <x v="0"/>
    <x v="1"/>
    <x v="0"/>
    <m/>
    <n v="0"/>
    <n v="0"/>
    <x v="0"/>
    <x v="0"/>
    <n v="0"/>
    <m/>
    <m/>
    <m/>
  </r>
  <r>
    <m/>
    <x v="0"/>
    <x v="2"/>
    <x v="0"/>
    <m/>
    <n v="0"/>
    <n v="0"/>
    <x v="0"/>
    <x v="0"/>
    <n v="0"/>
    <m/>
    <m/>
    <m/>
  </r>
  <r>
    <m/>
    <x v="0"/>
    <x v="3"/>
    <x v="0"/>
    <m/>
    <n v="0"/>
    <n v="0"/>
    <x v="0"/>
    <x v="0"/>
    <n v="0"/>
    <m/>
    <m/>
    <m/>
  </r>
  <r>
    <d v="2023-11-16T00:00:00"/>
    <x v="1"/>
    <x v="4"/>
    <x v="0"/>
    <s v="K Khoza"/>
    <s v="Iron Tools"/>
    <n v="22.84"/>
    <x v="1"/>
    <x v="1"/>
    <n v="1"/>
    <s v="While polishing hammers, the head slipped and he injured his left thum nail"/>
    <m/>
    <m/>
  </r>
  <r>
    <m/>
    <x v="0"/>
    <x v="5"/>
    <x v="0"/>
    <m/>
    <n v="0"/>
    <n v="0"/>
    <x v="0"/>
    <x v="0"/>
    <n v="0"/>
    <m/>
    <m/>
    <m/>
  </r>
  <r>
    <s v="19/01/2024."/>
    <x v="2"/>
    <x v="6"/>
    <x v="1"/>
    <s v="M Khanyile"/>
    <s v="HAMMERS"/>
    <n v="2"/>
    <x v="1"/>
    <x v="2"/>
    <n v="1"/>
    <s v="Crowbar fell onto head."/>
    <m/>
    <m/>
  </r>
  <r>
    <m/>
    <x v="0"/>
    <x v="6"/>
    <x v="1"/>
    <m/>
    <n v="0"/>
    <n v="0"/>
    <x v="2"/>
    <x v="0"/>
    <n v="0"/>
    <m/>
    <m/>
    <m/>
  </r>
  <r>
    <d v="2024-02-07T00:00:00"/>
    <x v="3"/>
    <x v="7"/>
    <x v="1"/>
    <s v="A Lamprecht"/>
    <s v="MAINTENANCE"/>
    <n v="80"/>
    <x v="1"/>
    <x v="1"/>
    <n v="1"/>
    <s v="Machine Part fell onto finger making a cut."/>
    <m/>
    <m/>
  </r>
  <r>
    <m/>
    <x v="0"/>
    <x v="7"/>
    <x v="1"/>
    <m/>
    <n v="0"/>
    <n v="0"/>
    <x v="2"/>
    <x v="0"/>
    <n v="0"/>
    <m/>
    <m/>
    <m/>
  </r>
  <r>
    <m/>
    <x v="0"/>
    <x v="8"/>
    <x v="1"/>
    <s v="A Lamprecht"/>
    <s v="MAINTENANCE"/>
    <n v="200"/>
    <x v="1"/>
    <x v="1"/>
    <n v="0"/>
    <m/>
    <m/>
    <m/>
  </r>
  <r>
    <m/>
    <x v="0"/>
    <x v="8"/>
    <x v="1"/>
    <m/>
    <n v="0"/>
    <n v="0"/>
    <x v="2"/>
    <x v="0"/>
    <n v="0"/>
    <m/>
    <m/>
    <m/>
  </r>
  <r>
    <d v="2025-04-12T00:00:00"/>
    <x v="2"/>
    <x v="9"/>
    <x v="1"/>
    <s v="S Baloyi"/>
    <s v="HAMMERS"/>
    <n v="40.22"/>
    <x v="1"/>
    <x v="3"/>
    <n v="1"/>
    <s v="Foreign object went into eye while grinding"/>
    <m/>
    <m/>
  </r>
  <r>
    <d v="2024-05-14T00:00:00"/>
    <x v="4"/>
    <x v="9"/>
    <x v="1"/>
    <s v="T Khanyile"/>
    <s v="HAMMERS"/>
    <n v="0"/>
    <x v="1"/>
    <x v="4"/>
    <n v="1"/>
    <s v="Twisted ankle while getting off forklift"/>
    <m/>
    <m/>
  </r>
  <r>
    <m/>
    <x v="0"/>
    <x v="9"/>
    <x v="1"/>
    <s v="A Lamprecht"/>
    <s v="MAINTENANCE"/>
    <n v="88.5"/>
    <x v="1"/>
    <x v="1"/>
    <n v="0"/>
    <m/>
    <m/>
    <m/>
  </r>
  <r>
    <m/>
    <x v="0"/>
    <x v="9"/>
    <x v="1"/>
    <m/>
    <n v="0"/>
    <n v="0"/>
    <x v="2"/>
    <x v="0"/>
    <n v="0"/>
    <m/>
    <m/>
    <m/>
  </r>
  <r>
    <m/>
    <x v="0"/>
    <x v="10"/>
    <x v="1"/>
    <s v="T Khanyile"/>
    <s v="HAMMERS"/>
    <n v="29.63"/>
    <x v="1"/>
    <x v="4"/>
    <n v="0"/>
    <m/>
    <m/>
    <m/>
  </r>
  <r>
    <m/>
    <x v="0"/>
    <x v="10"/>
    <x v="1"/>
    <s v="A Lamprecht"/>
    <s v="MAINTENANCE"/>
    <n v="9.01"/>
    <x v="1"/>
    <x v="1"/>
    <n v="0"/>
    <m/>
    <m/>
    <m/>
  </r>
  <r>
    <m/>
    <x v="0"/>
    <x v="10"/>
    <x v="1"/>
    <m/>
    <n v="0"/>
    <n v="0"/>
    <x v="2"/>
    <x v="0"/>
    <n v="0"/>
    <m/>
    <m/>
    <m/>
  </r>
  <r>
    <m/>
    <x v="5"/>
    <x v="11"/>
    <x v="1"/>
    <m/>
    <n v="0"/>
    <n v="0"/>
    <x v="1"/>
    <x v="0"/>
    <n v="0"/>
    <m/>
    <m/>
    <m/>
  </r>
  <r>
    <m/>
    <x v="1"/>
    <x v="11"/>
    <x v="1"/>
    <m/>
    <n v="0"/>
    <n v="0"/>
    <x v="2"/>
    <x v="0"/>
    <n v="0"/>
    <m/>
    <m/>
    <m/>
  </r>
  <r>
    <d v="2024-07-12T00:00:00"/>
    <x v="2"/>
    <x v="0"/>
    <x v="1"/>
    <s v="N Majola"/>
    <s v="HAMMERS"/>
    <n v="0"/>
    <x v="2"/>
    <x v="1"/>
    <n v="1"/>
    <s v="Bumped hand against bin injuring finger."/>
    <m/>
    <m/>
  </r>
  <r>
    <d v="2024-07-23T00:00:00"/>
    <x v="4"/>
    <x v="0"/>
    <x v="1"/>
    <s v="S Ndlovu"/>
    <s v="RAKES"/>
    <n v="0"/>
    <x v="2"/>
    <x v="1"/>
    <n v="1"/>
    <s v="Cut finger while trying to cut string"/>
    <m/>
    <m/>
  </r>
  <r>
    <m/>
    <x v="0"/>
    <x v="0"/>
    <x v="1"/>
    <s v="A Lamprecht"/>
    <s v="MAINTENANCE"/>
    <n v="143"/>
    <x v="1"/>
    <x v="1"/>
    <n v="0"/>
    <m/>
    <m/>
    <m/>
  </r>
  <r>
    <d v="2024-08-02T00:00:00"/>
    <x v="2"/>
    <x v="1"/>
    <x v="1"/>
    <s v="T Mpongose"/>
    <s v="HAMMERS"/>
    <n v="2.09"/>
    <x v="1"/>
    <x v="1"/>
    <n v="1"/>
    <s v="Cut middle finger while drilling double head slashers"/>
    <m/>
    <m/>
  </r>
  <r>
    <d v="2024-08-08T00:00:00"/>
    <x v="1"/>
    <x v="1"/>
    <x v="1"/>
    <s v="T Motaung"/>
    <s v="HAMMERS"/>
    <n v="0"/>
    <x v="2"/>
    <x v="1"/>
    <n v="1"/>
    <s v="Cut finger while putting on rubber protection on the 1.8kg axe."/>
    <m/>
    <m/>
  </r>
  <r>
    <m/>
    <x v="0"/>
    <x v="1"/>
    <x v="1"/>
    <s v="A Lamprecht"/>
    <s v="MAINTENANCE"/>
    <n v="132.1"/>
    <x v="1"/>
    <x v="1"/>
    <n v="0"/>
    <m/>
    <m/>
    <m/>
  </r>
  <r>
    <m/>
    <x v="0"/>
    <x v="2"/>
    <x v="1"/>
    <s v="A Lamprecht"/>
    <s v="MAINTENANCE"/>
    <n v="6.27"/>
    <x v="1"/>
    <x v="1"/>
    <n v="0"/>
    <m/>
    <m/>
    <m/>
  </r>
  <r>
    <m/>
    <x v="0"/>
    <x v="2"/>
    <x v="1"/>
    <m/>
    <n v="0"/>
    <n v="0"/>
    <x v="2"/>
    <x v="0"/>
    <n v="0"/>
    <m/>
    <m/>
    <m/>
  </r>
  <r>
    <m/>
    <x v="0"/>
    <x v="3"/>
    <x v="1"/>
    <m/>
    <n v="0"/>
    <n v="0"/>
    <x v="2"/>
    <x v="0"/>
    <n v="0"/>
    <m/>
    <m/>
    <m/>
  </r>
  <r>
    <m/>
    <x v="0"/>
    <x v="3"/>
    <x v="1"/>
    <s v="A Lamprecht"/>
    <s v="MAINTENANCE"/>
    <n v="7.29"/>
    <x v="1"/>
    <x v="1"/>
    <n v="0"/>
    <m/>
    <m/>
    <m/>
  </r>
  <r>
    <d v="2004-11-01T00:00:00"/>
    <x v="0"/>
    <x v="4"/>
    <x v="1"/>
    <s v="A Lamprecht"/>
    <s v="MAINTENANCE"/>
    <n v="0"/>
    <x v="2"/>
    <x v="0"/>
    <n v="0"/>
    <m/>
    <m/>
    <m/>
  </r>
  <r>
    <m/>
    <x v="0"/>
    <x v="4"/>
    <x v="1"/>
    <s v="A Lamprecht"/>
    <s v="MAINTENANCE"/>
    <n v="3"/>
    <x v="1"/>
    <x v="1"/>
    <n v="0"/>
    <m/>
    <m/>
    <m/>
  </r>
  <r>
    <d v="2024-12-01T00:00:00"/>
    <x v="0"/>
    <x v="5"/>
    <x v="1"/>
    <s v="A Lamprecht"/>
    <s v="MAINTENANCE"/>
    <n v="0"/>
    <x v="2"/>
    <x v="0"/>
    <n v="0"/>
    <m/>
    <m/>
    <m/>
  </r>
  <r>
    <m/>
    <x v="0"/>
    <x v="5"/>
    <x v="1"/>
    <s v="A Lamprecht"/>
    <s v="MAINTENANCE"/>
    <n v="0"/>
    <x v="1"/>
    <x v="0"/>
    <n v="0"/>
    <m/>
    <m/>
    <m/>
  </r>
  <r>
    <d v="2025-01-01T00:00:00"/>
    <x v="0"/>
    <x v="6"/>
    <x v="2"/>
    <s v="A Lamprecht"/>
    <s v="MAINTENANCE"/>
    <n v="0"/>
    <x v="2"/>
    <x v="0"/>
    <n v="0"/>
    <m/>
    <m/>
    <m/>
  </r>
  <r>
    <m/>
    <x v="0"/>
    <x v="6"/>
    <x v="2"/>
    <s v="A Lamprecht"/>
    <s v="MAINTENANCE"/>
    <n v="0"/>
    <x v="1"/>
    <x v="0"/>
    <n v="0"/>
    <m/>
    <m/>
    <m/>
  </r>
  <r>
    <d v="2025-01-01T00:00:00"/>
    <x v="0"/>
    <x v="7"/>
    <x v="2"/>
    <s v="A Lamprecht"/>
    <s v="MAINTENANCE"/>
    <n v="0"/>
    <x v="2"/>
    <x v="0"/>
    <n v="0"/>
    <m/>
    <m/>
    <m/>
  </r>
  <r>
    <m/>
    <x v="0"/>
    <x v="7"/>
    <x v="2"/>
    <s v="A Lamprecht"/>
    <s v="MAINTENANCE"/>
    <n v="0"/>
    <x v="1"/>
    <x v="0"/>
    <n v="0"/>
    <m/>
    <m/>
    <m/>
  </r>
  <r>
    <d v="2025-03-01T00:00:00"/>
    <x v="0"/>
    <x v="8"/>
    <x v="2"/>
    <s v="A Lamprecht"/>
    <s v="MAINTENANCE"/>
    <n v="0"/>
    <x v="2"/>
    <x v="0"/>
    <n v="0"/>
    <m/>
    <m/>
    <m/>
  </r>
  <r>
    <m/>
    <x v="0"/>
    <x v="8"/>
    <x v="2"/>
    <s v="A Lamprecht"/>
    <s v="MAINTENANCE"/>
    <n v="0"/>
    <x v="1"/>
    <x v="0"/>
    <n v="0"/>
    <m/>
    <m/>
    <m/>
  </r>
  <r>
    <d v="2025-04-01T00:00:00"/>
    <x v="0"/>
    <x v="9"/>
    <x v="2"/>
    <s v="A Lamprecht"/>
    <s v="MAINTENANCE"/>
    <n v="0"/>
    <x v="2"/>
    <x v="0"/>
    <n v="0"/>
    <m/>
    <m/>
    <m/>
  </r>
  <r>
    <m/>
    <x v="0"/>
    <x v="9"/>
    <x v="2"/>
    <s v="A Lamprecht"/>
    <s v="MAINTENANCE"/>
    <n v="1.92"/>
    <x v="1"/>
    <x v="0"/>
    <n v="0"/>
    <m/>
    <m/>
    <m/>
  </r>
  <r>
    <d v="2025-05-01T00:00:00"/>
    <x v="0"/>
    <x v="10"/>
    <x v="2"/>
    <s v="A Lamprecht"/>
    <s v="MAINTENANCE"/>
    <n v="9.77"/>
    <x v="2"/>
    <x v="0"/>
    <n v="0"/>
    <m/>
    <m/>
    <m/>
  </r>
  <r>
    <m/>
    <x v="0"/>
    <x v="10"/>
    <x v="2"/>
    <s v="A Lamprecht"/>
    <s v="MAINTENANCE"/>
    <n v="0"/>
    <x v="1"/>
    <x v="0"/>
    <n v="0"/>
    <m/>
    <m/>
    <m/>
  </r>
  <r>
    <d v="2025-06-13T00:00:00"/>
    <x v="2"/>
    <x v="11"/>
    <x v="2"/>
    <s v="A Mthembu"/>
    <s v="Warehouse"/>
    <n v="3.22"/>
    <x v="1"/>
    <x v="4"/>
    <n v="1"/>
    <s v="Pallet fell on right leg above ankle"/>
    <m/>
    <m/>
  </r>
  <r>
    <m/>
    <x v="0"/>
    <x v="11"/>
    <x v="2"/>
    <s v="A Lamprecht"/>
    <s v="MAINTENANCE"/>
    <n v="9.5399999999999991"/>
    <x v="1"/>
    <x v="5"/>
    <n v="0"/>
    <m/>
    <m/>
    <m/>
  </r>
  <r>
    <d v="2025-07-01T00:00:00"/>
    <x v="0"/>
    <x v="0"/>
    <x v="2"/>
    <s v="A Mthembu"/>
    <s v="Warehouse"/>
    <n v="24.76"/>
    <x v="1"/>
    <x v="0"/>
    <n v="0"/>
    <m/>
    <m/>
    <m/>
  </r>
  <r>
    <m/>
    <x v="0"/>
    <x v="0"/>
    <x v="2"/>
    <s v="A Lamprecht"/>
    <s v="MAINTENANCE"/>
    <n v="0"/>
    <x v="2"/>
    <x v="0"/>
    <n v="0"/>
    <m/>
    <m/>
    <m/>
  </r>
  <r>
    <d v="2025-08-01T00:00:00"/>
    <x v="0"/>
    <x v="1"/>
    <x v="2"/>
    <s v="A Lamprecht"/>
    <s v="MAINTENANCE"/>
    <n v="23"/>
    <x v="1"/>
    <x v="0"/>
    <n v="0"/>
    <m/>
    <m/>
    <m/>
  </r>
  <r>
    <m/>
    <x v="0"/>
    <x v="1"/>
    <x v="2"/>
    <s v="A Lamprecht"/>
    <s v="MAINTENANCE"/>
    <n v="0"/>
    <x v="2"/>
    <x v="0"/>
    <n v="0"/>
    <m/>
    <m/>
    <m/>
  </r>
  <r>
    <d v="2025-09-01T00:00:00"/>
    <x v="0"/>
    <x v="2"/>
    <x v="2"/>
    <m/>
    <m/>
    <n v="5.44"/>
    <x v="1"/>
    <x v="0"/>
    <n v="0"/>
    <m/>
    <m/>
    <m/>
  </r>
  <r>
    <m/>
    <x v="0"/>
    <x v="2"/>
    <x v="2"/>
    <s v="A Lamprecht"/>
    <s v="MAINTENANCE"/>
    <n v="0"/>
    <x v="2"/>
    <x v="0"/>
    <n v="0"/>
    <m/>
    <m/>
    <m/>
  </r>
  <r>
    <d v="2025-10-31T00:00:00"/>
    <x v="2"/>
    <x v="3"/>
    <x v="2"/>
    <s v="T Masilo"/>
    <s v="HAMMERS"/>
    <n v="14.08"/>
    <x v="1"/>
    <x v="1"/>
    <n v="1"/>
    <s v="Club hammer fell on left pinky finger. Swelling of finger."/>
    <m/>
    <m/>
  </r>
  <r>
    <m/>
    <x v="0"/>
    <x v="3"/>
    <x v="2"/>
    <s v="A Lamprecht"/>
    <s v="MAINTENANCE"/>
    <n v="0"/>
    <x v="2"/>
    <x v="0"/>
    <n v="0"/>
    <m/>
    <m/>
    <m/>
  </r>
  <r>
    <m/>
    <x v="0"/>
    <x v="4"/>
    <x v="2"/>
    <m/>
    <m/>
    <m/>
    <x v="3"/>
    <x v="5"/>
    <m/>
    <m/>
    <m/>
    <m/>
  </r>
  <r>
    <m/>
    <x v="0"/>
    <x v="5"/>
    <x v="2"/>
    <m/>
    <m/>
    <m/>
    <x v="3"/>
    <x v="5"/>
    <m/>
    <m/>
    <m/>
    <m/>
  </r>
  <r>
    <m/>
    <x v="0"/>
    <x v="12"/>
    <x v="3"/>
    <m/>
    <m/>
    <m/>
    <x v="3"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ED493-CF5D-43BA-B53C-A4B249A21472}" name="PivotTable1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4">
  <location ref="A3:B6" firstHeaderRow="1" firstDataRow="1" firstDataCol="1" rowPageCount="1" colPageCount="1"/>
  <pivotFields count="10">
    <pivotField showAll="0"/>
    <pivotField showAll="0"/>
    <pivotField showAll="0" sortType="ascending"/>
    <pivotField axis="axisPage" multipleItemSelectionAllowed="1" showAll="0">
      <items count="5">
        <item h="1" x="0"/>
        <item h="1" x="1"/>
        <item x="3"/>
        <item x="2"/>
        <item t="default"/>
      </items>
    </pivotField>
    <pivotField showAll="0"/>
    <pivotField axis="axisRow" showAll="0" sortType="ascending">
      <items count="8">
        <item h="1" x="0"/>
        <item x="2"/>
        <item h="1" x="3"/>
        <item h="1" x="6"/>
        <item x="1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1" showAll="0"/>
  </pivotFields>
  <rowFields count="1">
    <field x="5"/>
  </rowFields>
  <rowItems count="3">
    <i>
      <x v="1"/>
    </i>
    <i>
      <x v="6"/>
    </i>
    <i t="grand">
      <x/>
    </i>
  </rowItems>
  <colItems count="1">
    <i/>
  </colItems>
  <pageFields count="1">
    <pageField fld="3" hier="-1"/>
  </pageFields>
  <dataFields count="1">
    <dataField name="Sum of Total" fld="9" baseField="0" baseItem="0"/>
  </dataFields>
  <chartFormats count="3"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02FDE1-6A67-42EB-B581-615DC0837B00}" name="PivotTable1" cacheId="29" applyNumberFormats="0" applyBorderFormats="0" applyFontFormats="0" applyPatternFormats="0" applyAlignmentFormats="0" applyWidthHeightFormats="1" dataCaption="Values" errorCaption="0" showError="1" missingCaption="0" updatedVersion="7" minRefreshableVersion="3" useAutoFormatting="1" itemPrintTitles="1" createdVersion="7" indent="0" outline="1" outlineData="1" multipleFieldFilters="0" chartFormat="11">
  <location ref="A4:B17" firstHeaderRow="1" firstDataRow="1" firstDataCol="1" rowPageCount="1" colPageCount="1"/>
  <pivotFields count="13">
    <pivotField showAll="0"/>
    <pivotField showAll="0"/>
    <pivotField axis="axisRow" showAll="0" sortType="ascending">
      <items count="15">
        <item m="1" x="13"/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h="1" x="12"/>
        <item t="default"/>
      </items>
    </pivotField>
    <pivotField axis="axisRow" multipleItemSelectionAllowed="1" showAll="0">
      <items count="5">
        <item h="1" x="0"/>
        <item h="1" x="1"/>
        <item h="1" x="3"/>
        <item x="2"/>
        <item t="default"/>
      </items>
    </pivotField>
    <pivotField showAll="0"/>
    <pivotField showAll="0"/>
    <pivotField showAll="0"/>
    <pivotField axis="axisPage" multipleItemSelectionAllowed="1" showAll="0">
      <items count="5">
        <item x="0"/>
        <item x="2"/>
        <item h="1" x="1"/>
        <item x="3"/>
        <item t="default"/>
      </items>
    </pivotField>
    <pivotField showAll="0"/>
    <pivotField dataField="1" numFmtId="1" showAll="0"/>
    <pivotField showAll="0"/>
    <pivotField showAll="0"/>
    <pivotField showAll="0"/>
  </pivotFields>
  <rowFields count="2">
    <field x="3"/>
    <field x="2"/>
  </rowFields>
  <rowItems count="13">
    <i>
      <x v="3"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pageFields count="1">
    <pageField fld="7" hier="-1"/>
  </pageFields>
  <dataFields count="1">
    <dataField name="Sum of Total" fld="9" baseField="0" baseItem="0"/>
  </dataFields>
  <chartFormats count="5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9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3" count="1" selected="0">
            <x v="1"/>
          </reference>
        </references>
      </pivotArea>
    </chartFormat>
    <chartFormat chart="9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39919-C57C-4707-BED2-F839587BDFB9}" name="PivotTable1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3:C7" firstHeaderRow="1" firstDataRow="2" firstDataCol="1" rowPageCount="1" colPageCount="1"/>
  <pivotFields count="13">
    <pivotField showAll="0"/>
    <pivotField showAll="0"/>
    <pivotField showAll="0" sortType="ascending"/>
    <pivotField axis="axisPage" multipleItemSelectionAllowed="1" showAll="0">
      <items count="5">
        <item h="1" x="0"/>
        <item h="1" x="1"/>
        <item h="1" x="3"/>
        <item x="2"/>
        <item t="default"/>
      </items>
    </pivotField>
    <pivotField showAll="0"/>
    <pivotField showAll="0"/>
    <pivotField showAll="0"/>
    <pivotField axis="axisCol" showAll="0" sortType="descending">
      <items count="5">
        <item h="1" x="3"/>
        <item x="1"/>
        <item x="2"/>
        <item h="1" x="0"/>
        <item t="default"/>
      </items>
    </pivotField>
    <pivotField axis="axisRow" showAll="0">
      <items count="7">
        <item x="3"/>
        <item x="4"/>
        <item x="1"/>
        <item x="2"/>
        <item h="1" x="0"/>
        <item h="1" x="5"/>
        <item t="default"/>
      </items>
    </pivotField>
    <pivotField dataField="1" numFmtId="1" showAll="0"/>
    <pivotField showAll="0"/>
    <pivotField showAll="0"/>
    <pivotField showAll="0"/>
  </pivotFields>
  <rowFields count="1">
    <field x="8"/>
  </rowFields>
  <rowItems count="3">
    <i>
      <x v="1"/>
    </i>
    <i>
      <x v="2"/>
    </i>
    <i t="grand">
      <x/>
    </i>
  </rowItems>
  <colFields count="1">
    <field x="7"/>
  </colFields>
  <colItems count="2">
    <i>
      <x v="1"/>
    </i>
    <i t="grand">
      <x/>
    </i>
  </colItems>
  <pageFields count="1">
    <pageField fld="3" hier="-1"/>
  </pageFields>
  <dataFields count="1">
    <dataField name="Sum of Total" fld="9" baseField="0" baseItem="0"/>
  </dataFields>
  <chartFormats count="19">
    <chartFormat chart="6" format="11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6" format="12" series="1">
      <pivotArea type="data" outline="0" fieldPosition="0">
        <references count="1">
          <reference field="8" count="1" selected="0">
            <x v="1"/>
          </reference>
        </references>
      </pivotArea>
    </chartFormat>
    <chartFormat chart="6" format="14" series="1">
      <pivotArea type="data" outline="0" fieldPosition="0">
        <references count="1">
          <reference field="8" count="1" selected="0">
            <x v="2"/>
          </reference>
        </references>
      </pivotArea>
    </chartFormat>
    <chartFormat chart="6" format="15" series="1">
      <pivotArea type="data" outline="0" fieldPosition="0">
        <references count="1">
          <reference field="8" count="1" selected="0">
            <x v="3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8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8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8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3A2E5-FEF6-49E4-9357-8E2462508ED0}" name="PivotTable1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4:A17" firstHeaderRow="1" firstDataRow="1" firstDataCol="1" rowPageCount="2" colPageCount="1"/>
  <pivotFields count="13">
    <pivotField showAll="0"/>
    <pivotField showAll="0"/>
    <pivotField axis="axisRow" showAll="0" sortType="ascending">
      <items count="15">
        <item x="6"/>
        <item m="1" x="13"/>
        <item x="7"/>
        <item x="8"/>
        <item x="9"/>
        <item x="10"/>
        <item x="11"/>
        <item x="0"/>
        <item x="1"/>
        <item x="2"/>
        <item x="3"/>
        <item x="4"/>
        <item x="5"/>
        <item h="1" x="12"/>
        <item t="default"/>
      </items>
    </pivotField>
    <pivotField axis="axisPage" multipleItemSelectionAllowed="1" showAll="0">
      <items count="5">
        <item h="1" x="0"/>
        <item x="1"/>
        <item x="3"/>
        <item h="1" x="2"/>
        <item t="default"/>
      </items>
    </pivotField>
    <pivotField showAll="0"/>
    <pivotField showAll="0"/>
    <pivotField showAll="0"/>
    <pivotField axis="axisPage" multipleItemSelectionAllowed="1" showAll="0">
      <items count="5">
        <item x="0"/>
        <item h="1" x="2"/>
        <item x="1"/>
        <item x="3"/>
        <item t="default"/>
      </items>
    </pivotField>
    <pivotField showAll="0"/>
    <pivotField numFmtId="1" showAll="0"/>
    <pivotField showAll="0"/>
    <pivotField showAll="0"/>
    <pivotField showAll="0"/>
  </pivotFields>
  <rowFields count="1">
    <field x="2"/>
  </rowFields>
  <rowItems count="13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2">
    <pageField fld="7" hier="-1"/>
    <pageField fld="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FBBDE-4A0E-4D35-8878-F34D16E9F512}" name="PivotTable1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4:B18" firstHeaderRow="1" firstDataRow="1" firstDataCol="1" rowPageCount="1" colPageCount="1"/>
  <pivotFields count="13">
    <pivotField showAll="0"/>
    <pivotField showAll="0"/>
    <pivotField axis="axisRow" showAll="0" sortType="ascending">
      <items count="15">
        <item m="1" x="13"/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h="1" x="12"/>
        <item t="default"/>
      </items>
    </pivotField>
    <pivotField axis="axisRow" multipleItemSelectionAllowed="1" showAll="0">
      <items count="5">
        <item h="1" x="0"/>
        <item h="1" x="1"/>
        <item h="1" x="3"/>
        <item x="2"/>
        <item t="default"/>
      </items>
    </pivotField>
    <pivotField showAll="0"/>
    <pivotField showAll="0"/>
    <pivotField showAll="0"/>
    <pivotField axis="axisPage" multipleItemSelectionAllowed="1" showAll="0">
      <items count="5">
        <item h="1" x="0"/>
        <item h="1" x="2"/>
        <item x="1"/>
        <item x="3"/>
        <item t="default"/>
      </items>
    </pivotField>
    <pivotField showAll="0"/>
    <pivotField dataField="1" numFmtId="1" showAll="0"/>
    <pivotField showAll="0"/>
    <pivotField showAll="0"/>
    <pivotField showAll="0"/>
  </pivotFields>
  <rowFields count="2">
    <field x="3"/>
    <field x="2"/>
  </rowFields>
  <rowItems count="14"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pageFields count="1">
    <pageField fld="7" hier="-1"/>
  </pageFields>
  <dataFields count="1">
    <dataField name="Sum of Total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C0E0C-C81A-4C26-9A5D-57756C35A6DF}" name="PivotTable2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4:B16" firstHeaderRow="1" firstDataRow="1" firstDataCol="1" rowPageCount="1" colPageCount="1"/>
  <pivotFields count="11">
    <pivotField axis="axisRow" showAll="0">
      <items count="16">
        <item m="1" x="13"/>
        <item x="6"/>
        <item x="7"/>
        <item x="8"/>
        <item x="9"/>
        <item x="10"/>
        <item h="1" x="12"/>
        <item x="11"/>
        <item x="0"/>
        <item x="1"/>
        <item x="2"/>
        <item x="3"/>
        <item x="4"/>
        <item x="5"/>
        <item h="1" m="1" x="14"/>
        <item t="default"/>
      </items>
    </pivotField>
    <pivotField axis="axisRow" multipleItemSelectionAllowed="1" showAll="0">
      <items count="5">
        <item h="1" x="0"/>
        <item h="1" x="1"/>
        <item h="1" x="3"/>
        <item x="2"/>
        <item t="default"/>
      </items>
    </pivotField>
    <pivotField showAll="0"/>
    <pivotField showAll="0"/>
    <pivotField dataField="1" showAll="0"/>
    <pivotField axis="axisPage" multipleItemSelectionAllowed="1" showAll="0">
      <items count="5">
        <item h="1" x="0"/>
        <item h="1" x="2"/>
        <item x="1"/>
        <item h="1" x="3"/>
        <item t="default"/>
      </items>
    </pivotField>
    <pivotField showAll="0"/>
    <pivotField showAll="0"/>
    <pivotField showAll="0"/>
    <pivotField showAll="0"/>
    <pivotField showAll="0"/>
  </pivotFields>
  <rowFields count="2">
    <field x="1"/>
    <field x="0"/>
  </rowFields>
  <rowItems count="12">
    <i>
      <x v="3"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pageFields count="1">
    <pageField fld="5" hier="-1"/>
  </pageFields>
  <dataFields count="1">
    <dataField name="Sum of Time lost(hours)" fld="4" baseField="0" baseItem="0"/>
  </dataFields>
  <chartFormats count="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2CEB2-3835-44E4-9350-CCFBDB3F01A9}" name="PivotTable2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:B9" firstHeaderRow="1" firstDataRow="1" firstDataCol="1"/>
  <pivotFields count="13">
    <pivotField showAll="0"/>
    <pivotField axis="axisRow" showAll="0" sortType="ascending">
      <items count="11">
        <item m="1" x="6"/>
        <item m="1" x="8"/>
        <item x="5"/>
        <item x="4"/>
        <item x="3"/>
        <item x="1"/>
        <item x="2"/>
        <item m="1" x="9"/>
        <item m="1" x="7"/>
        <item h="1" x="0"/>
        <item t="default"/>
      </items>
    </pivotField>
    <pivotField showAll="0"/>
    <pivotField multipleItemSelectionAllowe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6"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" fld="9" baseField="0" baseItem="0"/>
  </dataFields>
  <chartFormats count="1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67D4E-0DE4-40EE-8671-B50C93D9FB5E}" name="PivotTable2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24" firstHeaderRow="1" firstDataRow="1" firstDataCol="1"/>
  <pivotFields count="11">
    <pivotField axis="axisRow" showAll="0">
      <items count="16">
        <item m="1" x="13"/>
        <item x="6"/>
        <item x="7"/>
        <item x="8"/>
        <item x="9"/>
        <item x="10"/>
        <item h="1" x="12"/>
        <item x="11"/>
        <item x="0"/>
        <item x="1"/>
        <item x="2"/>
        <item x="3"/>
        <item x="4"/>
        <item x="5"/>
        <item h="1" m="1" x="14"/>
        <item t="default"/>
      </items>
    </pivotField>
    <pivotField axis="axisRow" multipleItemSelectionAllowed="1" showAll="0">
      <items count="5">
        <item x="0"/>
        <item x="1"/>
        <item h="1" x="3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1"/>
    <field x="0"/>
  </rowFields>
  <rowItems count="21">
    <i>
      <x/>
    </i>
    <i r="1">
      <x v="8"/>
    </i>
    <i r="1">
      <x v="9"/>
    </i>
    <i r="1">
      <x v="10"/>
    </i>
    <i r="1">
      <x v="11"/>
    </i>
    <i r="1">
      <x v="12"/>
    </i>
    <i r="1">
      <x v="13"/>
    </i>
    <i>
      <x v="1"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grand">
      <x/>
    </i>
  </rowItems>
  <colItems count="1">
    <i/>
  </colItems>
  <dataFields count="1">
    <dataField name="Sum of Total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0FBC66-A111-4093-95F6-083526CA21C9}" name="PivotTable2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3:C6" firstHeaderRow="1" firstDataRow="2" firstDataCol="1" rowPageCount="1" colPageCount="1"/>
  <pivotFields count="13">
    <pivotField showAll="0"/>
    <pivotField axis="axisRow" showAll="0" sortType="ascending">
      <items count="11">
        <item m="1" x="6"/>
        <item m="1" x="8"/>
        <item x="5"/>
        <item x="4"/>
        <item x="3"/>
        <item x="1"/>
        <item x="2"/>
        <item m="1" x="9"/>
        <item m="1" x="7"/>
        <item h="1" x="0"/>
        <item t="default"/>
      </items>
    </pivotField>
    <pivotField showAll="0"/>
    <pivotField axis="axisPage" multipleItemSelectionAllowed="1" showAll="0">
      <items count="5">
        <item h="1" x="0"/>
        <item h="1" x="1"/>
        <item h="1" x="3"/>
        <item x="2"/>
        <item t="default"/>
      </items>
    </pivotField>
    <pivotField showAll="0"/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2">
    <i>
      <x v="6"/>
    </i>
    <i t="grand">
      <x/>
    </i>
  </rowItems>
  <colFields count="1">
    <field x="7"/>
  </colFields>
  <colItems count="2">
    <i>
      <x v="2"/>
    </i>
    <i t="grand">
      <x/>
    </i>
  </colItems>
  <pageFields count="1">
    <pageField fld="3" hier="-1"/>
  </pageFields>
  <dataFields count="1">
    <dataField name="Sum of Total" fld="9" baseField="0" baseItem="0"/>
  </dataFields>
  <chartFormats count="8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7B1BB-572B-450A-9F3B-96975CCDEB7C}" name="PivotTable1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3:B6" firstHeaderRow="1" firstDataRow="1" firstDataCol="1" rowPageCount="1" colPageCount="1"/>
  <pivotFields count="10">
    <pivotField showAll="0"/>
    <pivotField showAll="0"/>
    <pivotField showAll="0" sortType="ascending"/>
    <pivotField axis="axisPage" multipleItemSelectionAllowed="1" showAll="0">
      <items count="5">
        <item h="1" x="0"/>
        <item h="1" x="1"/>
        <item h="1" x="3"/>
        <item x="2"/>
        <item t="default"/>
      </items>
    </pivotField>
    <pivotField showAll="0"/>
    <pivotField showAll="0"/>
    <pivotField showAll="0"/>
    <pivotField axis="axisRow" showAll="0">
      <items count="5">
        <item x="0"/>
        <item x="1"/>
        <item h="1" x="3"/>
        <item x="2"/>
        <item t="default"/>
      </items>
    </pivotField>
    <pivotField showAll="0"/>
    <pivotField dataField="1" numFmtId="1" showAll="0"/>
  </pivotFields>
  <rowFields count="1">
    <field x="7"/>
  </rowFields>
  <rowItems count="3">
    <i>
      <x v="1"/>
    </i>
    <i>
      <x v="3"/>
    </i>
    <i t="grand">
      <x/>
    </i>
  </rowItems>
  <colItems count="1">
    <i/>
  </colItems>
  <pageFields count="1">
    <pageField fld="3" hier="-1"/>
  </pageFields>
  <dataFields count="1">
    <dataField name="Sum of Total" fld="9" baseField="0" baseItem="0"/>
  </dataFields>
  <chartFormats count="3"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ECDC-78C7-44B4-A2CC-E81F9E4F675F}">
  <sheetPr codeName="Sheet2">
    <pageSetUpPr fitToPage="1"/>
  </sheetPr>
  <dimension ref="A1:N260"/>
  <sheetViews>
    <sheetView tabSelected="1" showWhiteSpace="0" view="pageBreakPreview" topLeftCell="A113" zoomScaleNormal="90" zoomScaleSheetLayoutView="100" zoomScalePageLayoutView="40" workbookViewId="0">
      <selection activeCell="N124" sqref="N124"/>
    </sheetView>
  </sheetViews>
  <sheetFormatPr defaultRowHeight="12.75"/>
  <cols>
    <col min="1" max="1" width="24" style="160" customWidth="1"/>
    <col min="2" max="2" width="12.28515625" style="160" customWidth="1"/>
    <col min="3" max="3" width="9.140625" style="160"/>
    <col min="4" max="4" width="5.28515625" style="160" customWidth="1"/>
    <col min="5" max="5" width="2.85546875" style="160" customWidth="1"/>
    <col min="6" max="6" width="19.42578125" style="160" customWidth="1"/>
    <col min="7" max="7" width="19.140625" style="160" customWidth="1"/>
    <col min="8" max="10" width="9.140625" style="160"/>
    <col min="11" max="11" width="20.140625" style="160" customWidth="1"/>
    <col min="12" max="12" width="24.85546875" style="160" customWidth="1"/>
    <col min="13" max="16384" width="9.140625" style="160"/>
  </cols>
  <sheetData>
    <row r="1" spans="1:12" ht="83.25" customHeight="1">
      <c r="A1" s="172"/>
      <c r="B1" s="173"/>
      <c r="C1" s="270" t="s">
        <v>433</v>
      </c>
      <c r="D1" s="238"/>
      <c r="E1" s="238"/>
      <c r="F1" s="238"/>
      <c r="G1" s="238"/>
      <c r="H1" s="238"/>
      <c r="I1" s="238"/>
      <c r="J1" s="238"/>
      <c r="K1" s="173"/>
      <c r="L1" s="174"/>
    </row>
    <row r="2" spans="1:12" ht="6.75" customHeight="1">
      <c r="A2" s="261"/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47"/>
    </row>
    <row r="3" spans="1:12" ht="19.5" customHeight="1">
      <c r="A3" s="258" t="s">
        <v>402</v>
      </c>
      <c r="B3" s="258"/>
      <c r="C3" s="258"/>
      <c r="D3" s="258"/>
      <c r="E3" s="162"/>
      <c r="F3" s="248" t="s">
        <v>248</v>
      </c>
      <c r="G3" s="249"/>
      <c r="H3" s="249"/>
      <c r="I3" s="249"/>
      <c r="J3" s="249"/>
      <c r="K3" s="249"/>
      <c r="L3" s="250"/>
    </row>
    <row r="4" spans="1:12" ht="21.75" customHeight="1">
      <c r="A4" s="257">
        <f ca="1">NETWORKDAYS(B13,TODAY())</f>
        <v>75</v>
      </c>
      <c r="B4" s="257"/>
      <c r="C4" s="257"/>
      <c r="D4" s="257"/>
      <c r="E4" s="161"/>
      <c r="F4" s="251"/>
      <c r="G4" s="252"/>
      <c r="H4" s="252"/>
      <c r="I4" s="252"/>
      <c r="J4" s="252"/>
      <c r="K4" s="252"/>
      <c r="L4" s="253"/>
    </row>
    <row r="5" spans="1:12">
      <c r="A5" s="257"/>
      <c r="B5" s="257"/>
      <c r="C5" s="257"/>
      <c r="D5" s="257"/>
      <c r="E5" s="161"/>
      <c r="F5" s="170" t="s">
        <v>239</v>
      </c>
      <c r="G5" s="168" t="s">
        <v>43</v>
      </c>
      <c r="H5" s="239"/>
      <c r="I5" s="239"/>
      <c r="J5" s="239"/>
      <c r="K5" s="168" t="s">
        <v>43</v>
      </c>
      <c r="L5" s="170" t="s">
        <v>251</v>
      </c>
    </row>
    <row r="6" spans="1:12">
      <c r="A6" s="257"/>
      <c r="B6" s="257"/>
      <c r="C6" s="257"/>
      <c r="D6" s="257"/>
      <c r="E6" s="161"/>
      <c r="F6" s="261"/>
      <c r="G6" s="247"/>
      <c r="H6" s="239"/>
      <c r="I6" s="239"/>
      <c r="J6" s="239"/>
      <c r="K6" s="267"/>
      <c r="L6" s="269"/>
    </row>
    <row r="7" spans="1:12">
      <c r="A7" s="257"/>
      <c r="B7" s="257"/>
      <c r="C7" s="257"/>
      <c r="D7" s="257"/>
      <c r="E7" s="161"/>
      <c r="F7" s="170" t="s">
        <v>240</v>
      </c>
      <c r="G7" s="168"/>
      <c r="H7" s="239"/>
      <c r="I7" s="239"/>
      <c r="J7" s="239"/>
      <c r="K7" s="168"/>
      <c r="L7" s="170" t="s">
        <v>240</v>
      </c>
    </row>
    <row r="8" spans="1:12">
      <c r="A8" s="257"/>
      <c r="B8" s="257"/>
      <c r="C8" s="257"/>
      <c r="D8" s="257"/>
      <c r="E8" s="161"/>
      <c r="F8" s="263"/>
      <c r="G8" s="264"/>
      <c r="H8" s="239"/>
      <c r="I8" s="239"/>
      <c r="J8" s="239"/>
      <c r="K8" s="239"/>
      <c r="L8" s="239"/>
    </row>
    <row r="9" spans="1:12">
      <c r="A9" s="257"/>
      <c r="B9" s="257"/>
      <c r="C9" s="257"/>
      <c r="D9" s="257"/>
      <c r="E9" s="161"/>
      <c r="F9" s="170" t="s">
        <v>241</v>
      </c>
      <c r="G9" s="168"/>
      <c r="H9" s="239"/>
      <c r="I9" s="239"/>
      <c r="J9" s="239"/>
      <c r="K9" s="167"/>
      <c r="L9" s="170" t="s">
        <v>249</v>
      </c>
    </row>
    <row r="10" spans="1:12">
      <c r="A10" s="257"/>
      <c r="B10" s="257"/>
      <c r="C10" s="257"/>
      <c r="D10" s="257"/>
      <c r="E10" s="161"/>
      <c r="F10" s="263"/>
      <c r="G10" s="264"/>
      <c r="H10" s="239"/>
      <c r="I10" s="239"/>
      <c r="J10" s="239"/>
      <c r="K10" s="239"/>
      <c r="L10" s="239"/>
    </row>
    <row r="11" spans="1:12">
      <c r="A11" s="168" t="s">
        <v>419</v>
      </c>
      <c r="B11" s="267">
        <v>284</v>
      </c>
      <c r="C11" s="268"/>
      <c r="D11" s="269"/>
      <c r="E11" s="161"/>
      <c r="F11" s="170" t="s">
        <v>242</v>
      </c>
      <c r="G11" s="167"/>
      <c r="H11" s="239"/>
      <c r="I11" s="239"/>
      <c r="J11" s="239"/>
      <c r="K11" s="167"/>
      <c r="L11" s="170" t="s">
        <v>242</v>
      </c>
    </row>
    <row r="12" spans="1:12" ht="15.75" customHeight="1">
      <c r="A12" s="175"/>
      <c r="B12" s="161"/>
      <c r="C12" s="161"/>
      <c r="D12" s="161"/>
      <c r="E12" s="161"/>
      <c r="F12" s="239"/>
      <c r="G12" s="239"/>
      <c r="H12" s="239"/>
      <c r="I12" s="239"/>
      <c r="J12" s="239"/>
      <c r="K12" s="239"/>
      <c r="L12" s="239"/>
    </row>
    <row r="13" spans="1:12" ht="15">
      <c r="A13" s="190" t="s">
        <v>372</v>
      </c>
      <c r="B13" s="260">
        <v>45961</v>
      </c>
      <c r="C13" s="260"/>
      <c r="D13" s="260"/>
      <c r="E13" s="161"/>
      <c r="F13" s="170" t="s">
        <v>243</v>
      </c>
      <c r="G13" s="167"/>
      <c r="H13" s="239"/>
      <c r="I13" s="239"/>
      <c r="J13" s="239"/>
      <c r="K13" s="167"/>
      <c r="L13" s="170" t="s">
        <v>243</v>
      </c>
    </row>
    <row r="14" spans="1:12" ht="4.5" customHeight="1">
      <c r="A14" s="261"/>
      <c r="B14" s="262"/>
      <c r="C14" s="262"/>
      <c r="D14" s="247"/>
      <c r="E14" s="161"/>
      <c r="F14" s="239"/>
      <c r="G14" s="239"/>
      <c r="H14" s="239"/>
      <c r="I14" s="239"/>
      <c r="J14" s="239"/>
      <c r="K14" s="239"/>
      <c r="L14" s="239"/>
    </row>
    <row r="15" spans="1:12" ht="15">
      <c r="A15" s="190" t="s">
        <v>370</v>
      </c>
      <c r="B15" s="259" t="s">
        <v>41</v>
      </c>
      <c r="C15" s="259"/>
      <c r="D15" s="259"/>
      <c r="E15" s="161"/>
      <c r="F15" s="239"/>
      <c r="G15" s="239"/>
      <c r="H15" s="239"/>
      <c r="I15" s="239"/>
      <c r="J15" s="239"/>
      <c r="K15" s="239"/>
      <c r="L15" s="239"/>
    </row>
    <row r="16" spans="1:12">
      <c r="A16" s="176"/>
      <c r="B16" s="171"/>
      <c r="C16" s="171"/>
      <c r="D16" s="182"/>
      <c r="E16" s="161"/>
      <c r="F16" s="170" t="s">
        <v>14</v>
      </c>
      <c r="G16" s="168"/>
      <c r="H16" s="239"/>
      <c r="I16" s="239"/>
      <c r="J16" s="239"/>
      <c r="K16" s="168">
        <v>1</v>
      </c>
      <c r="L16" s="170" t="s">
        <v>14</v>
      </c>
    </row>
    <row r="17" spans="1:12" ht="16.5" customHeight="1">
      <c r="A17" s="214" t="s">
        <v>424</v>
      </c>
      <c r="B17" s="226" t="s">
        <v>373</v>
      </c>
      <c r="C17" s="227"/>
      <c r="D17" s="228"/>
      <c r="E17" s="161"/>
      <c r="F17" s="213"/>
      <c r="G17" s="213"/>
      <c r="H17" s="239"/>
      <c r="I17" s="239"/>
      <c r="J17" s="239"/>
      <c r="K17" s="246" t="s">
        <v>431</v>
      </c>
      <c r="L17" s="247"/>
    </row>
    <row r="18" spans="1:12" ht="13.5" customHeight="1">
      <c r="A18" s="223">
        <f>G27</f>
        <v>2</v>
      </c>
      <c r="B18" s="229">
        <f>'SAFETY DATA'!V17</f>
        <v>1.3632031129015725</v>
      </c>
      <c r="C18" s="230"/>
      <c r="D18" s="231"/>
      <c r="E18" s="161"/>
      <c r="F18" s="170" t="s">
        <v>244</v>
      </c>
      <c r="G18" s="168">
        <v>1</v>
      </c>
      <c r="H18" s="239"/>
      <c r="I18" s="239"/>
      <c r="J18" s="239"/>
      <c r="K18" s="168">
        <v>2</v>
      </c>
      <c r="L18" s="170" t="s">
        <v>244</v>
      </c>
    </row>
    <row r="19" spans="1:12">
      <c r="A19" s="224"/>
      <c r="B19" s="232"/>
      <c r="C19" s="233"/>
      <c r="D19" s="234"/>
      <c r="E19" s="161"/>
      <c r="F19" s="265" t="s">
        <v>430</v>
      </c>
      <c r="G19" s="266"/>
      <c r="H19" s="239"/>
      <c r="I19" s="239"/>
      <c r="J19" s="239"/>
      <c r="K19" s="277" t="s">
        <v>432</v>
      </c>
      <c r="L19" s="278"/>
    </row>
    <row r="20" spans="1:12" ht="47.25" customHeight="1">
      <c r="A20" s="224"/>
      <c r="B20" s="232"/>
      <c r="C20" s="233"/>
      <c r="D20" s="234"/>
      <c r="E20" s="161"/>
      <c r="F20" s="266"/>
      <c r="G20" s="266"/>
      <c r="H20" s="239"/>
      <c r="I20" s="239"/>
      <c r="J20" s="239"/>
      <c r="K20" s="278"/>
      <c r="L20" s="278"/>
    </row>
    <row r="21" spans="1:12" ht="12.75" customHeight="1">
      <c r="A21" s="224"/>
      <c r="B21" s="232"/>
      <c r="C21" s="233"/>
      <c r="D21" s="234"/>
      <c r="E21" s="161"/>
      <c r="F21" s="170" t="s">
        <v>245</v>
      </c>
      <c r="G21" s="168">
        <v>1</v>
      </c>
      <c r="H21" s="239"/>
      <c r="I21" s="239"/>
      <c r="J21" s="239"/>
      <c r="K21" s="167"/>
      <c r="L21" s="170" t="s">
        <v>245</v>
      </c>
    </row>
    <row r="22" spans="1:12" ht="18" customHeight="1">
      <c r="A22" s="224"/>
      <c r="B22" s="232"/>
      <c r="C22" s="233"/>
      <c r="D22" s="234"/>
      <c r="E22" s="161"/>
      <c r="F22" s="275" t="s">
        <v>428</v>
      </c>
      <c r="G22" s="276"/>
      <c r="H22" s="239"/>
      <c r="I22" s="239"/>
      <c r="J22" s="239"/>
      <c r="K22" s="239"/>
      <c r="L22" s="239"/>
    </row>
    <row r="23" spans="1:12" ht="12.75" customHeight="1">
      <c r="A23" s="224"/>
      <c r="B23" s="232"/>
      <c r="C23" s="233"/>
      <c r="D23" s="234"/>
      <c r="E23" s="161"/>
      <c r="F23" s="170" t="s">
        <v>246</v>
      </c>
      <c r="G23" s="168"/>
      <c r="H23" s="239"/>
      <c r="I23" s="239"/>
      <c r="J23" s="239"/>
      <c r="K23" s="167"/>
      <c r="L23" s="170" t="s">
        <v>250</v>
      </c>
    </row>
    <row r="24" spans="1:12" ht="12.75" customHeight="1">
      <c r="A24" s="224"/>
      <c r="B24" s="232"/>
      <c r="C24" s="233"/>
      <c r="D24" s="234"/>
      <c r="E24" s="161"/>
      <c r="F24" s="263"/>
      <c r="G24" s="264"/>
      <c r="H24" s="239"/>
      <c r="I24" s="239"/>
      <c r="J24" s="239"/>
      <c r="K24" s="239"/>
      <c r="L24" s="239"/>
    </row>
    <row r="25" spans="1:12" ht="12.75" customHeight="1">
      <c r="A25" s="224"/>
      <c r="B25" s="232"/>
      <c r="C25" s="233"/>
      <c r="D25" s="234"/>
      <c r="E25" s="161"/>
      <c r="F25" s="170" t="s">
        <v>247</v>
      </c>
      <c r="G25" s="167"/>
      <c r="H25" s="239"/>
      <c r="I25" s="239"/>
      <c r="J25" s="239"/>
      <c r="K25" s="167"/>
      <c r="L25" s="170" t="s">
        <v>247</v>
      </c>
    </row>
    <row r="26" spans="1:12" ht="12.75" customHeight="1">
      <c r="A26" s="224"/>
      <c r="B26" s="232"/>
      <c r="C26" s="233"/>
      <c r="D26" s="234"/>
      <c r="E26" s="161"/>
      <c r="F26" s="239"/>
      <c r="G26" s="239"/>
      <c r="H26" s="239"/>
      <c r="I26" s="239"/>
      <c r="J26" s="239"/>
      <c r="K26" s="239"/>
      <c r="L26" s="239"/>
    </row>
    <row r="27" spans="1:12" ht="12.75" customHeight="1">
      <c r="A27" s="225"/>
      <c r="B27" s="235"/>
      <c r="C27" s="236"/>
      <c r="D27" s="237"/>
      <c r="E27" s="161"/>
      <c r="F27" s="170" t="s">
        <v>31</v>
      </c>
      <c r="G27" s="168">
        <f>SUM(G7,G9,G11,G13,G16,G18,G21,G23,G25)</f>
        <v>2</v>
      </c>
      <c r="H27" s="239"/>
      <c r="I27" s="239"/>
      <c r="J27" s="239"/>
      <c r="K27" s="168">
        <f>SUM(K7,K9,K11,K13,K16,K18,K21,K23,K25)</f>
        <v>3</v>
      </c>
      <c r="L27" s="170" t="s">
        <v>31</v>
      </c>
    </row>
    <row r="28" spans="1:12" ht="12.75" customHeight="1">
      <c r="A28" s="183"/>
      <c r="B28" s="184"/>
      <c r="C28" s="184"/>
      <c r="D28" s="184"/>
      <c r="E28" s="163"/>
      <c r="F28" s="163"/>
      <c r="G28" s="163"/>
      <c r="H28" s="164"/>
      <c r="I28" s="164"/>
      <c r="J28" s="164"/>
      <c r="K28" s="163"/>
      <c r="L28" s="181"/>
    </row>
    <row r="29" spans="1:12" ht="26.25">
      <c r="A29" s="254" t="s">
        <v>423</v>
      </c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6"/>
    </row>
    <row r="30" spans="1:12" ht="12.75" customHeight="1">
      <c r="A30" s="187"/>
      <c r="B30" s="188"/>
      <c r="C30" s="188"/>
      <c r="D30" s="188"/>
      <c r="E30" s="162"/>
      <c r="F30" s="162"/>
      <c r="G30" s="162"/>
      <c r="H30" s="189"/>
      <c r="I30" s="189"/>
      <c r="J30" s="189"/>
      <c r="K30" s="162"/>
      <c r="L30" s="186"/>
    </row>
    <row r="31" spans="1:12">
      <c r="A31" s="175"/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77"/>
    </row>
    <row r="32" spans="1:12">
      <c r="A32" s="175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77"/>
    </row>
    <row r="33" spans="1:12">
      <c r="A33" s="175"/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77"/>
    </row>
    <row r="34" spans="1:12">
      <c r="A34" s="175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77"/>
    </row>
    <row r="35" spans="1:12">
      <c r="A35" s="175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77"/>
    </row>
    <row r="36" spans="1:12">
      <c r="A36" s="175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77"/>
    </row>
    <row r="37" spans="1:12">
      <c r="A37" s="175"/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77"/>
    </row>
    <row r="38" spans="1:12">
      <c r="A38" s="175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77"/>
    </row>
    <row r="39" spans="1:12">
      <c r="A39" s="175"/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77"/>
    </row>
    <row r="40" spans="1:12">
      <c r="A40" s="175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77"/>
    </row>
    <row r="41" spans="1:12">
      <c r="A41" s="175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77"/>
    </row>
    <row r="42" spans="1:12">
      <c r="A42" s="175"/>
      <c r="B42" s="161"/>
      <c r="C42" s="161"/>
      <c r="D42" s="161"/>
      <c r="E42" s="161"/>
      <c r="F42" s="161"/>
      <c r="G42" s="161"/>
      <c r="H42" s="161"/>
      <c r="I42" s="161"/>
      <c r="J42" s="161"/>
      <c r="K42" s="161"/>
      <c r="L42" s="177"/>
    </row>
    <row r="43" spans="1:12">
      <c r="A43" s="175"/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77"/>
    </row>
    <row r="44" spans="1:12">
      <c r="A44" s="175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77"/>
    </row>
    <row r="45" spans="1:12">
      <c r="A45" s="175"/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77"/>
    </row>
    <row r="46" spans="1:12">
      <c r="A46" s="175"/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77"/>
    </row>
    <row r="47" spans="1:12">
      <c r="A47" s="175"/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77"/>
    </row>
    <row r="48" spans="1:12">
      <c r="A48" s="175"/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77"/>
    </row>
    <row r="49" spans="1:12">
      <c r="A49" s="175"/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77"/>
    </row>
    <row r="50" spans="1:12">
      <c r="A50" s="175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77"/>
    </row>
    <row r="51" spans="1:12">
      <c r="A51" s="175"/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77"/>
    </row>
    <row r="52" spans="1:12">
      <c r="A52" s="175"/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77"/>
    </row>
    <row r="53" spans="1:12">
      <c r="A53" s="175"/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77"/>
    </row>
    <row r="54" spans="1:12">
      <c r="A54" s="175"/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77"/>
    </row>
    <row r="55" spans="1:12">
      <c r="A55" s="175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77"/>
    </row>
    <row r="56" spans="1:12">
      <c r="A56" s="175"/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77"/>
    </row>
    <row r="57" spans="1:12">
      <c r="A57" s="175"/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77"/>
    </row>
    <row r="58" spans="1:12">
      <c r="A58" s="175"/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77"/>
    </row>
    <row r="59" spans="1:12">
      <c r="A59" s="175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77"/>
    </row>
    <row r="60" spans="1:12">
      <c r="A60" s="175"/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77"/>
    </row>
    <row r="61" spans="1:12">
      <c r="A61" s="175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77"/>
    </row>
    <row r="62" spans="1:12">
      <c r="A62" s="175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77"/>
    </row>
    <row r="63" spans="1:12">
      <c r="A63" s="175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77"/>
    </row>
    <row r="64" spans="1:12">
      <c r="A64" s="175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77"/>
    </row>
    <row r="65" spans="1:12">
      <c r="A65" s="175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77"/>
    </row>
    <row r="66" spans="1:12">
      <c r="A66" s="175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77"/>
    </row>
    <row r="67" spans="1:12">
      <c r="A67" s="175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77"/>
    </row>
    <row r="68" spans="1:12">
      <c r="A68" s="175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77"/>
    </row>
    <row r="69" spans="1:12">
      <c r="A69" s="175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77"/>
    </row>
    <row r="70" spans="1:12">
      <c r="A70" s="175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77"/>
    </row>
    <row r="71" spans="1:12">
      <c r="A71" s="175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77"/>
    </row>
    <row r="72" spans="1:12">
      <c r="A72" s="175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77"/>
    </row>
    <row r="73" spans="1:12">
      <c r="A73" s="175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77"/>
    </row>
    <row r="74" spans="1:12">
      <c r="A74" s="175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77"/>
    </row>
    <row r="75" spans="1:12">
      <c r="A75" s="175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77"/>
    </row>
    <row r="76" spans="1:12">
      <c r="A76" s="175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77"/>
    </row>
    <row r="77" spans="1:12">
      <c r="A77" s="175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77"/>
    </row>
    <row r="78" spans="1:12">
      <c r="A78" s="175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77"/>
    </row>
    <row r="79" spans="1:12">
      <c r="A79" s="175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77"/>
    </row>
    <row r="80" spans="1:12">
      <c r="A80" s="175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77"/>
    </row>
    <row r="81" spans="1:12">
      <c r="A81" s="175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77"/>
    </row>
    <row r="82" spans="1:12">
      <c r="A82" s="175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77"/>
    </row>
    <row r="83" spans="1:12">
      <c r="A83" s="175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77"/>
    </row>
    <row r="84" spans="1:12">
      <c r="A84" s="175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77"/>
    </row>
    <row r="85" spans="1:12">
      <c r="A85" s="175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77"/>
    </row>
    <row r="86" spans="1:12">
      <c r="A86" s="175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77"/>
    </row>
    <row r="87" spans="1:12">
      <c r="A87" s="180"/>
      <c r="B87" s="163"/>
      <c r="C87" s="163"/>
      <c r="D87" s="163"/>
      <c r="E87" s="163"/>
      <c r="F87" s="163"/>
      <c r="G87" s="163"/>
      <c r="H87" s="163"/>
      <c r="I87" s="163"/>
      <c r="J87" s="163"/>
      <c r="K87" s="163"/>
      <c r="L87" s="181"/>
    </row>
    <row r="88" spans="1:12" ht="15.75" customHeight="1">
      <c r="A88" s="180"/>
      <c r="B88" s="163"/>
      <c r="C88" s="163"/>
      <c r="D88" s="163"/>
      <c r="E88" s="163"/>
      <c r="F88" s="163"/>
      <c r="G88" s="163"/>
      <c r="H88" s="163"/>
      <c r="I88" s="163"/>
      <c r="J88" s="163"/>
      <c r="K88" s="163"/>
      <c r="L88" s="181"/>
    </row>
    <row r="89" spans="1:12" ht="83.25" customHeight="1">
      <c r="A89" s="172"/>
      <c r="B89" s="173"/>
      <c r="C89" s="238" t="s">
        <v>422</v>
      </c>
      <c r="D89" s="238"/>
      <c r="E89" s="238"/>
      <c r="F89" s="238"/>
      <c r="G89" s="238"/>
      <c r="H89" s="238"/>
      <c r="I89" s="238"/>
      <c r="J89" s="238"/>
      <c r="K89" s="173"/>
      <c r="L89" s="174"/>
    </row>
    <row r="90" spans="1:12" ht="10.5" customHeight="1">
      <c r="A90" s="203"/>
      <c r="B90" s="201"/>
      <c r="C90" s="202"/>
      <c r="D90" s="202"/>
      <c r="E90" s="202"/>
      <c r="F90" s="202"/>
      <c r="G90" s="202"/>
      <c r="H90" s="202"/>
      <c r="I90" s="202"/>
      <c r="J90" s="202"/>
      <c r="K90" s="201"/>
      <c r="L90" s="204"/>
    </row>
    <row r="91" spans="1:12" ht="24.75" hidden="1" customHeight="1">
      <c r="A91" s="203"/>
      <c r="B91" s="201"/>
      <c r="C91" s="202"/>
      <c r="D91" s="202"/>
      <c r="E91" s="202"/>
      <c r="F91" s="202"/>
      <c r="G91" s="202"/>
      <c r="H91" s="202"/>
      <c r="I91" s="202"/>
      <c r="J91" s="202"/>
      <c r="K91" s="201"/>
      <c r="L91" s="204"/>
    </row>
    <row r="92" spans="1:12" ht="26.25">
      <c r="A92" s="271" t="s">
        <v>421</v>
      </c>
      <c r="B92" s="255"/>
      <c r="C92" s="255"/>
      <c r="D92" s="255"/>
      <c r="E92" s="255"/>
      <c r="F92" s="255"/>
      <c r="G92" s="255"/>
      <c r="H92" s="255"/>
      <c r="I92" s="255"/>
      <c r="J92" s="255"/>
      <c r="K92" s="255"/>
      <c r="L92" s="256"/>
    </row>
    <row r="93" spans="1:12">
      <c r="A93" s="185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86"/>
    </row>
    <row r="94" spans="1:12">
      <c r="A94" s="175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77"/>
    </row>
    <row r="95" spans="1:12">
      <c r="A95" s="175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77"/>
    </row>
    <row r="96" spans="1:12">
      <c r="A96" s="175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77"/>
    </row>
    <row r="97" spans="1:14">
      <c r="A97" s="175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77"/>
    </row>
    <row r="98" spans="1:14">
      <c r="A98" s="175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77"/>
    </row>
    <row r="99" spans="1:14">
      <c r="A99" s="175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77"/>
    </row>
    <row r="100" spans="1:14">
      <c r="A100" s="175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77"/>
    </row>
    <row r="101" spans="1:14">
      <c r="A101" s="175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77"/>
    </row>
    <row r="102" spans="1:14">
      <c r="A102" s="175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77"/>
    </row>
    <row r="103" spans="1:14">
      <c r="A103" s="175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77"/>
    </row>
    <row r="104" spans="1:14">
      <c r="A104" s="175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77"/>
    </row>
    <row r="105" spans="1:14">
      <c r="A105" s="175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77"/>
      <c r="N105" s="212"/>
    </row>
    <row r="106" spans="1:14">
      <c r="A106" s="175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77"/>
    </row>
    <row r="107" spans="1:14" ht="15.75" customHeight="1">
      <c r="A107" s="175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77"/>
    </row>
    <row r="108" spans="1:14">
      <c r="A108" s="175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77"/>
    </row>
    <row r="109" spans="1:14">
      <c r="A109" s="175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77"/>
    </row>
    <row r="110" spans="1:14">
      <c r="A110" s="175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77"/>
    </row>
    <row r="111" spans="1:14">
      <c r="A111" s="175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77"/>
    </row>
    <row r="112" spans="1:14">
      <c r="A112" s="175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77"/>
    </row>
    <row r="113" spans="1:14">
      <c r="A113" s="175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77"/>
    </row>
    <row r="114" spans="1:14">
      <c r="A114" s="175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77"/>
    </row>
    <row r="115" spans="1:14">
      <c r="A115" s="175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77"/>
    </row>
    <row r="116" spans="1:14">
      <c r="A116" s="175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77"/>
    </row>
    <row r="117" spans="1:14">
      <c r="A117" s="175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77"/>
    </row>
    <row r="118" spans="1:14">
      <c r="A118" s="175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77"/>
    </row>
    <row r="119" spans="1:14">
      <c r="A119" s="175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77"/>
    </row>
    <row r="120" spans="1:14">
      <c r="A120" s="175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77"/>
    </row>
    <row r="121" spans="1:14">
      <c r="A121" s="175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77"/>
    </row>
    <row r="122" spans="1:14">
      <c r="A122" s="175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77"/>
    </row>
    <row r="123" spans="1:14" ht="26.25">
      <c r="A123" s="222" t="s">
        <v>404</v>
      </c>
      <c r="B123" s="222"/>
      <c r="C123" s="222"/>
      <c r="D123" s="222"/>
      <c r="E123" s="222"/>
      <c r="F123" s="222"/>
      <c r="G123" s="222"/>
      <c r="H123" s="222"/>
      <c r="I123" s="222"/>
      <c r="J123" s="222"/>
      <c r="K123" s="222"/>
      <c r="L123" s="222"/>
      <c r="N123"/>
    </row>
    <row r="124" spans="1:14" ht="15.75" customHeight="1">
      <c r="A124" s="175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77"/>
    </row>
    <row r="125" spans="1:14" ht="15.75">
      <c r="A125" s="175"/>
      <c r="B125" s="161"/>
      <c r="C125" s="161"/>
      <c r="D125" s="161"/>
      <c r="E125" s="161"/>
      <c r="F125" s="161"/>
      <c r="G125" s="161"/>
      <c r="H125" s="161"/>
      <c r="I125" s="161"/>
      <c r="J125" s="272" t="s">
        <v>371</v>
      </c>
      <c r="K125" s="273"/>
      <c r="L125" s="274"/>
    </row>
    <row r="126" spans="1:14">
      <c r="A126" s="175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77"/>
    </row>
    <row r="127" spans="1:14">
      <c r="A127" s="175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77"/>
    </row>
    <row r="128" spans="1:14">
      <c r="A128" s="175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77"/>
    </row>
    <row r="129" spans="1:12">
      <c r="A129" s="175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77"/>
    </row>
    <row r="130" spans="1:12">
      <c r="A130" s="175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77"/>
    </row>
    <row r="131" spans="1:12">
      <c r="A131" s="175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77"/>
    </row>
    <row r="132" spans="1:12">
      <c r="A132" s="175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77"/>
    </row>
    <row r="133" spans="1:12">
      <c r="A133" s="175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77"/>
    </row>
    <row r="134" spans="1:12">
      <c r="A134" s="175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77"/>
    </row>
    <row r="135" spans="1:12">
      <c r="A135" s="175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77"/>
    </row>
    <row r="136" spans="1:12" ht="3.75" customHeight="1">
      <c r="A136" s="175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77"/>
    </row>
    <row r="137" spans="1:12">
      <c r="A137" s="175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77"/>
    </row>
    <row r="138" spans="1:12">
      <c r="A138" s="175"/>
      <c r="B138" s="161"/>
      <c r="C138" s="161"/>
      <c r="D138" s="161"/>
      <c r="E138" s="161"/>
      <c r="F138" s="161"/>
      <c r="G138" s="161"/>
      <c r="H138" s="161"/>
      <c r="I138" s="161"/>
      <c r="J138" s="166"/>
      <c r="K138" s="165"/>
      <c r="L138" s="177"/>
    </row>
    <row r="139" spans="1:12">
      <c r="A139" s="175"/>
      <c r="B139" s="161"/>
      <c r="C139" s="161"/>
      <c r="D139" s="161"/>
      <c r="E139" s="161"/>
      <c r="F139" s="161"/>
      <c r="G139" s="161"/>
      <c r="H139" s="161"/>
      <c r="I139" s="161"/>
      <c r="J139" s="166"/>
      <c r="K139" s="161"/>
      <c r="L139" s="177"/>
    </row>
    <row r="140" spans="1:12">
      <c r="A140" s="175"/>
      <c r="B140" s="161"/>
      <c r="C140" s="161"/>
      <c r="D140" s="161"/>
      <c r="E140" s="161"/>
      <c r="F140" s="161"/>
      <c r="G140" s="161"/>
      <c r="H140" s="161"/>
      <c r="I140" s="161"/>
      <c r="J140" s="166"/>
      <c r="K140" s="161"/>
      <c r="L140" s="177"/>
    </row>
    <row r="141" spans="1:12">
      <c r="A141" s="175"/>
      <c r="B141" s="161"/>
      <c r="C141" s="161"/>
      <c r="D141" s="161"/>
      <c r="E141" s="161"/>
      <c r="F141" s="161"/>
      <c r="G141" s="161"/>
      <c r="H141" s="161"/>
      <c r="I141" s="161"/>
      <c r="J141" s="166"/>
      <c r="K141" s="161"/>
      <c r="L141" s="177"/>
    </row>
    <row r="142" spans="1:12">
      <c r="A142" s="175"/>
      <c r="B142" s="161"/>
      <c r="C142" s="161"/>
      <c r="D142" s="161"/>
      <c r="E142" s="161"/>
      <c r="F142" s="161"/>
      <c r="G142" s="161"/>
      <c r="H142" s="161"/>
      <c r="I142" s="161"/>
      <c r="J142" s="166"/>
      <c r="K142" s="161"/>
      <c r="L142" s="177"/>
    </row>
    <row r="143" spans="1:12">
      <c r="A143" s="175"/>
      <c r="B143" s="161"/>
      <c r="C143" s="161"/>
      <c r="D143" s="161"/>
      <c r="E143" s="161"/>
      <c r="F143" s="161"/>
      <c r="G143" s="161"/>
      <c r="H143" s="161"/>
      <c r="I143" s="161"/>
      <c r="J143" s="166"/>
      <c r="K143" s="161"/>
      <c r="L143" s="177"/>
    </row>
    <row r="144" spans="1:12">
      <c r="A144" s="175"/>
      <c r="B144" s="161"/>
      <c r="C144" s="161"/>
      <c r="D144" s="161"/>
      <c r="E144" s="161"/>
      <c r="F144" s="161"/>
      <c r="G144" s="161"/>
      <c r="H144" s="161"/>
      <c r="I144" s="161"/>
      <c r="J144" s="166"/>
      <c r="K144" s="161"/>
      <c r="L144" s="177"/>
    </row>
    <row r="145" spans="1:12">
      <c r="A145" s="175"/>
      <c r="B145" s="161"/>
      <c r="C145" s="161"/>
      <c r="D145" s="161"/>
      <c r="E145" s="161"/>
      <c r="F145" s="161"/>
      <c r="G145" s="161"/>
      <c r="H145" s="161"/>
      <c r="I145" s="161"/>
      <c r="J145" s="166"/>
      <c r="K145" s="161"/>
      <c r="L145" s="177"/>
    </row>
    <row r="146" spans="1:12" ht="23.25">
      <c r="A146" s="175"/>
      <c r="B146" s="161"/>
      <c r="C146" s="161"/>
      <c r="D146" s="161"/>
      <c r="E146" s="161"/>
      <c r="F146" s="161"/>
      <c r="G146" s="161"/>
      <c r="H146" s="161"/>
      <c r="I146" s="161"/>
      <c r="J146" s="240">
        <v>45810</v>
      </c>
      <c r="K146" s="241"/>
      <c r="L146" s="242"/>
    </row>
    <row r="147" spans="1:12" ht="15">
      <c r="A147" s="175"/>
      <c r="B147" s="161"/>
      <c r="C147" s="161"/>
      <c r="D147" s="161"/>
      <c r="E147" s="161"/>
      <c r="F147" s="161"/>
      <c r="G147" s="161"/>
      <c r="H147" s="161"/>
      <c r="I147" s="161"/>
      <c r="J147" s="243" t="s">
        <v>425</v>
      </c>
      <c r="K147" s="244"/>
      <c r="L147" s="245"/>
    </row>
    <row r="148" spans="1:12">
      <c r="A148" s="175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77"/>
    </row>
    <row r="149" spans="1:12">
      <c r="A149" s="175"/>
      <c r="B149" s="161"/>
      <c r="C149" s="161"/>
      <c r="D149" s="161"/>
      <c r="E149" s="161"/>
      <c r="F149" s="161"/>
      <c r="G149" s="161"/>
      <c r="H149" s="161"/>
      <c r="I149" s="161"/>
      <c r="J149" s="166"/>
      <c r="K149" s="161"/>
      <c r="L149" s="177"/>
    </row>
    <row r="150" spans="1:12">
      <c r="A150" s="175"/>
      <c r="B150" s="161"/>
      <c r="C150" s="161"/>
      <c r="D150" s="161"/>
      <c r="E150" s="161"/>
      <c r="F150" s="161"/>
      <c r="G150" s="161"/>
      <c r="H150" s="161"/>
      <c r="I150" s="161"/>
      <c r="J150" s="166"/>
      <c r="K150" s="161"/>
      <c r="L150" s="177"/>
    </row>
    <row r="151" spans="1:12">
      <c r="A151" s="175"/>
      <c r="B151" s="161"/>
      <c r="C151" s="161"/>
      <c r="D151" s="161"/>
      <c r="E151" s="161"/>
      <c r="F151" s="161"/>
      <c r="G151" s="161"/>
      <c r="H151" s="161"/>
      <c r="I151" s="161"/>
      <c r="J151" s="166"/>
      <c r="K151" s="161"/>
      <c r="L151" s="177"/>
    </row>
    <row r="152" spans="1:12">
      <c r="A152" s="175"/>
      <c r="B152" s="161"/>
      <c r="C152" s="161"/>
      <c r="D152" s="161"/>
      <c r="E152" s="161"/>
      <c r="F152" s="161"/>
      <c r="G152" s="161"/>
      <c r="H152" s="161"/>
      <c r="I152" s="161"/>
      <c r="J152" s="166"/>
      <c r="K152" s="161"/>
      <c r="L152" s="177"/>
    </row>
    <row r="153" spans="1:12">
      <c r="A153" s="175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77"/>
    </row>
    <row r="154" spans="1:12">
      <c r="A154" s="175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77"/>
    </row>
    <row r="155" spans="1:12" ht="29.25" customHeight="1">
      <c r="A155" s="175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77"/>
    </row>
    <row r="156" spans="1:12">
      <c r="A156" s="175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77"/>
    </row>
    <row r="157" spans="1:12">
      <c r="A157" s="178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79"/>
    </row>
    <row r="158" spans="1:12">
      <c r="A158" s="175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77"/>
    </row>
    <row r="159" spans="1:12">
      <c r="A159" s="175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77"/>
    </row>
    <row r="160" spans="1:12">
      <c r="A160" s="175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77"/>
    </row>
    <row r="161" spans="1:12">
      <c r="A161" s="175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77"/>
    </row>
    <row r="162" spans="1:12">
      <c r="A162" s="175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77"/>
    </row>
    <row r="163" spans="1:12">
      <c r="A163" s="175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77"/>
    </row>
    <row r="164" spans="1:12">
      <c r="A164" s="175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77"/>
    </row>
    <row r="165" spans="1:12">
      <c r="A165" s="175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77"/>
    </row>
    <row r="166" spans="1:12">
      <c r="A166" s="175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77"/>
    </row>
    <row r="167" spans="1:12">
      <c r="A167" s="175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77"/>
    </row>
    <row r="168" spans="1:12">
      <c r="A168" s="180"/>
      <c r="B168" s="163"/>
      <c r="C168" s="163"/>
      <c r="D168" s="163"/>
      <c r="E168" s="163"/>
      <c r="F168" s="163"/>
      <c r="G168" s="163"/>
      <c r="H168" s="163"/>
      <c r="I168" s="163"/>
      <c r="J168" s="163"/>
      <c r="K168" s="163"/>
      <c r="L168" s="181"/>
    </row>
    <row r="169" spans="1:12" ht="68.25" customHeight="1">
      <c r="A169" s="172"/>
      <c r="B169" s="173"/>
      <c r="C169" s="238" t="s">
        <v>403</v>
      </c>
      <c r="D169" s="238"/>
      <c r="E169" s="238"/>
      <c r="F169" s="238"/>
      <c r="G169" s="238"/>
      <c r="H169" s="238"/>
      <c r="I169" s="238"/>
      <c r="J169" s="238"/>
      <c r="K169" s="173"/>
      <c r="L169" s="174"/>
    </row>
    <row r="170" spans="1:12" ht="6.75" customHeight="1">
      <c r="A170" s="172"/>
      <c r="B170" s="173"/>
      <c r="C170" s="208"/>
      <c r="D170" s="208"/>
      <c r="E170" s="208"/>
      <c r="F170" s="208"/>
      <c r="G170" s="208"/>
      <c r="H170" s="208"/>
      <c r="I170" s="208"/>
      <c r="J170" s="208"/>
      <c r="K170" s="173"/>
      <c r="L170" s="174"/>
    </row>
    <row r="171" spans="1:12" ht="23.25" customHeight="1">
      <c r="A171" s="221" t="s">
        <v>417</v>
      </c>
      <c r="B171" s="222"/>
      <c r="C171" s="222"/>
      <c r="D171" s="222"/>
      <c r="E171" s="222"/>
      <c r="F171" s="222"/>
      <c r="G171" s="222"/>
      <c r="H171" s="222"/>
      <c r="I171" s="222"/>
      <c r="J171" s="222"/>
      <c r="K171" s="222"/>
      <c r="L171" s="222"/>
    </row>
    <row r="172" spans="1:12">
      <c r="A172" s="185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86"/>
    </row>
    <row r="173" spans="1:12">
      <c r="A173" s="175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77"/>
    </row>
    <row r="174" spans="1:12">
      <c r="A174" s="175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77"/>
    </row>
    <row r="175" spans="1:12">
      <c r="A175" s="175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77"/>
    </row>
    <row r="176" spans="1:12">
      <c r="A176" s="175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77"/>
    </row>
    <row r="177" spans="1:12">
      <c r="A177" s="175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77"/>
    </row>
    <row r="178" spans="1:12">
      <c r="A178" s="175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77"/>
    </row>
    <row r="179" spans="1:12">
      <c r="A179" s="175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77"/>
    </row>
    <row r="180" spans="1:12">
      <c r="A180" s="175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77"/>
    </row>
    <row r="181" spans="1:12">
      <c r="A181" s="175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77"/>
    </row>
    <row r="182" spans="1:12">
      <c r="A182" s="175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77"/>
    </row>
    <row r="183" spans="1:12">
      <c r="A183" s="175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77"/>
    </row>
    <row r="184" spans="1:12">
      <c r="A184" s="175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77"/>
    </row>
    <row r="185" spans="1:12">
      <c r="A185" s="175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77"/>
    </row>
    <row r="186" spans="1:12">
      <c r="A186" s="175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77"/>
    </row>
    <row r="187" spans="1:12">
      <c r="A187" s="175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77"/>
    </row>
    <row r="188" spans="1:12" ht="26.25">
      <c r="A188" s="221" t="s">
        <v>418</v>
      </c>
      <c r="B188" s="222"/>
      <c r="C188" s="222"/>
      <c r="D188" s="222"/>
      <c r="E188" s="222"/>
      <c r="F188" s="222"/>
      <c r="G188" s="222"/>
      <c r="H188" s="222"/>
      <c r="I188" s="222"/>
      <c r="J188" s="222"/>
      <c r="K188" s="222"/>
      <c r="L188" s="222"/>
    </row>
    <row r="189" spans="1:12">
      <c r="A189" s="175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77"/>
    </row>
    <row r="190" spans="1:12">
      <c r="A190" s="175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77"/>
    </row>
    <row r="191" spans="1:12">
      <c r="A191" s="175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77"/>
    </row>
    <row r="192" spans="1:12">
      <c r="A192" s="175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77"/>
    </row>
    <row r="193" spans="1:12">
      <c r="A193" s="175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77"/>
    </row>
    <row r="194" spans="1:12">
      <c r="A194" s="175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77"/>
    </row>
    <row r="195" spans="1:12">
      <c r="A195" s="175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77"/>
    </row>
    <row r="196" spans="1:12">
      <c r="A196" s="175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77"/>
    </row>
    <row r="197" spans="1:12">
      <c r="A197" s="175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77"/>
    </row>
    <row r="198" spans="1:12">
      <c r="A198" s="175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77"/>
    </row>
    <row r="199" spans="1:12">
      <c r="A199" s="175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77"/>
    </row>
    <row r="200" spans="1:12">
      <c r="A200" s="175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77"/>
    </row>
    <row r="201" spans="1:12">
      <c r="A201" s="175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77"/>
    </row>
    <row r="202" spans="1:12">
      <c r="A202" s="175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77"/>
    </row>
    <row r="203" spans="1:12">
      <c r="A203" s="175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77"/>
    </row>
    <row r="204" spans="1:12">
      <c r="A204" s="175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77"/>
    </row>
    <row r="205" spans="1:12">
      <c r="A205" s="175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77"/>
    </row>
    <row r="206" spans="1:12">
      <c r="A206" s="175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77"/>
    </row>
    <row r="207" spans="1:12">
      <c r="A207" s="175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77"/>
    </row>
    <row r="208" spans="1:12">
      <c r="A208" s="175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77"/>
    </row>
    <row r="209" spans="1:12">
      <c r="A209" s="175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77"/>
    </row>
    <row r="210" spans="1:12">
      <c r="A210" s="175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77"/>
    </row>
    <row r="211" spans="1:12">
      <c r="A211" s="175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77"/>
    </row>
    <row r="212" spans="1:12">
      <c r="A212" s="175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77"/>
    </row>
    <row r="213" spans="1:12">
      <c r="A213" s="175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77"/>
    </row>
    <row r="214" spans="1:12">
      <c r="A214" s="175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77"/>
    </row>
    <row r="215" spans="1:12">
      <c r="A215" s="175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77"/>
    </row>
    <row r="216" spans="1:12">
      <c r="A216" s="175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77"/>
    </row>
    <row r="217" spans="1:12">
      <c r="A217" s="175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77"/>
    </row>
    <row r="218" spans="1:12">
      <c r="A218" s="175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77"/>
    </row>
    <row r="219" spans="1:12">
      <c r="A219" s="175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77"/>
    </row>
    <row r="220" spans="1:12">
      <c r="A220" s="175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77"/>
    </row>
    <row r="221" spans="1:12">
      <c r="A221" s="175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77"/>
    </row>
    <row r="222" spans="1:12">
      <c r="A222" s="175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77"/>
    </row>
    <row r="223" spans="1:12">
      <c r="A223" s="175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77"/>
    </row>
    <row r="224" spans="1:12">
      <c r="A224" s="175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77"/>
    </row>
    <row r="225" spans="1:12">
      <c r="A225" s="175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77"/>
    </row>
    <row r="226" spans="1:12">
      <c r="A226" s="175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77"/>
    </row>
    <row r="227" spans="1:12">
      <c r="A227" s="175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77"/>
    </row>
    <row r="228" spans="1:12">
      <c r="A228" s="175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77"/>
    </row>
    <row r="229" spans="1:12">
      <c r="A229" s="175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77"/>
    </row>
    <row r="230" spans="1:12">
      <c r="A230" s="175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77"/>
    </row>
    <row r="231" spans="1:12">
      <c r="A231" s="175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77"/>
    </row>
    <row r="232" spans="1:12">
      <c r="A232" s="175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77"/>
    </row>
    <row r="233" spans="1:12">
      <c r="A233" s="175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77"/>
    </row>
    <row r="234" spans="1:12">
      <c r="A234" s="175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77"/>
    </row>
    <row r="235" spans="1:12">
      <c r="A235" s="175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77"/>
    </row>
    <row r="236" spans="1:12">
      <c r="A236" s="180"/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81"/>
    </row>
    <row r="237" spans="1:12" ht="26.25">
      <c r="A237" s="221" t="s">
        <v>390</v>
      </c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</row>
    <row r="238" spans="1:12">
      <c r="A238" s="185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86"/>
    </row>
    <row r="239" spans="1:12">
      <c r="A239" s="175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77"/>
    </row>
    <row r="240" spans="1:12">
      <c r="A240" s="175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77"/>
    </row>
    <row r="241" spans="1:12">
      <c r="A241" s="175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77"/>
    </row>
    <row r="242" spans="1:12">
      <c r="A242" s="175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77"/>
    </row>
    <row r="243" spans="1:12">
      <c r="A243" s="175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77"/>
    </row>
    <row r="244" spans="1:12">
      <c r="A244" s="175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77"/>
    </row>
    <row r="245" spans="1:12">
      <c r="A245" s="175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77"/>
    </row>
    <row r="246" spans="1:12">
      <c r="A246" s="175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77"/>
    </row>
    <row r="247" spans="1:12">
      <c r="A247" s="175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77"/>
    </row>
    <row r="248" spans="1:12">
      <c r="A248" s="175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77"/>
    </row>
    <row r="249" spans="1:12">
      <c r="A249" s="175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77"/>
    </row>
    <row r="250" spans="1:12">
      <c r="A250" s="175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77"/>
    </row>
    <row r="251" spans="1:12">
      <c r="A251" s="175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77"/>
    </row>
    <row r="252" spans="1:12">
      <c r="A252" s="175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77"/>
    </row>
    <row r="253" spans="1:12">
      <c r="A253" s="175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77"/>
    </row>
    <row r="254" spans="1:12">
      <c r="A254" s="175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77"/>
    </row>
    <row r="255" spans="1:12">
      <c r="A255" s="175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77"/>
    </row>
    <row r="256" spans="1:12" ht="10.5" customHeight="1">
      <c r="A256" s="175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77"/>
    </row>
    <row r="257" spans="1:12">
      <c r="A257" s="175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77"/>
    </row>
    <row r="258" spans="1:12" ht="10.5" customHeight="1">
      <c r="A258" s="175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77"/>
    </row>
    <row r="259" spans="1:12">
      <c r="A259" s="175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77"/>
    </row>
    <row r="260" spans="1:12" ht="10.5" customHeight="1">
      <c r="A260" s="180"/>
      <c r="B260" s="163"/>
      <c r="C260" s="163"/>
      <c r="D260" s="163"/>
      <c r="E260" s="163"/>
      <c r="F260" s="163"/>
      <c r="G260" s="163"/>
      <c r="H260" s="163"/>
      <c r="I260" s="163"/>
      <c r="J260" s="163"/>
      <c r="K260" s="163"/>
      <c r="L260" s="181"/>
    </row>
  </sheetData>
  <mergeCells count="43">
    <mergeCell ref="C1:J1"/>
    <mergeCell ref="A92:L92"/>
    <mergeCell ref="A123:L123"/>
    <mergeCell ref="J125:L125"/>
    <mergeCell ref="K6:L6"/>
    <mergeCell ref="F6:G6"/>
    <mergeCell ref="K22:L22"/>
    <mergeCell ref="F22:G22"/>
    <mergeCell ref="K24:L24"/>
    <mergeCell ref="F24:G24"/>
    <mergeCell ref="F14:G15"/>
    <mergeCell ref="K14:L15"/>
    <mergeCell ref="K19:L20"/>
    <mergeCell ref="C89:J89"/>
    <mergeCell ref="K12:L12"/>
    <mergeCell ref="A2:L2"/>
    <mergeCell ref="F3:L4"/>
    <mergeCell ref="A29:L29"/>
    <mergeCell ref="A4:D10"/>
    <mergeCell ref="A3:D3"/>
    <mergeCell ref="B15:D15"/>
    <mergeCell ref="B13:D13"/>
    <mergeCell ref="A14:D14"/>
    <mergeCell ref="H5:J27"/>
    <mergeCell ref="F8:G8"/>
    <mergeCell ref="K8:L8"/>
    <mergeCell ref="F10:G10"/>
    <mergeCell ref="F19:G20"/>
    <mergeCell ref="K10:L10"/>
    <mergeCell ref="F12:G12"/>
    <mergeCell ref="B11:D11"/>
    <mergeCell ref="A237:L237"/>
    <mergeCell ref="A171:L171"/>
    <mergeCell ref="A18:A27"/>
    <mergeCell ref="B17:D17"/>
    <mergeCell ref="B18:D27"/>
    <mergeCell ref="C169:J169"/>
    <mergeCell ref="K26:L26"/>
    <mergeCell ref="F26:G26"/>
    <mergeCell ref="J146:L146"/>
    <mergeCell ref="J147:L147"/>
    <mergeCell ref="A188:L188"/>
    <mergeCell ref="K17:L1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fitToHeight="0" orientation="portrait" r:id="rId1"/>
  <rowBreaks count="2" manualBreakCount="2">
    <brk id="87" max="11" man="1"/>
    <brk id="168" max="11" man="1"/>
  </rowBreaks>
  <colBreaks count="1" manualBreakCount="1">
    <brk id="12" max="188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134C-7245-4C17-8EAF-3B2A7B87E696}">
  <dimension ref="A1:B6"/>
  <sheetViews>
    <sheetView workbookViewId="0">
      <selection activeCell="B4" sqref="B4"/>
    </sheetView>
  </sheetViews>
  <sheetFormatPr defaultRowHeight="12.75"/>
  <cols>
    <col min="1" max="1" width="13.85546875" bestFit="1" customWidth="1"/>
    <col min="2" max="2" width="16.140625" bestFit="1" customWidth="1"/>
    <col min="3" max="4" width="11.7109375" bestFit="1" customWidth="1"/>
  </cols>
  <sheetData>
    <row r="1" spans="1:2">
      <c r="A1" s="135" t="s">
        <v>190</v>
      </c>
      <c r="B1" t="s">
        <v>368</v>
      </c>
    </row>
    <row r="3" spans="1:2">
      <c r="A3" s="135" t="s">
        <v>293</v>
      </c>
      <c r="B3" t="s">
        <v>295</v>
      </c>
    </row>
    <row r="4" spans="1:2">
      <c r="A4" s="136" t="s">
        <v>41</v>
      </c>
      <c r="B4" s="137">
        <v>1</v>
      </c>
    </row>
    <row r="5" spans="1:2">
      <c r="A5" s="136" t="s">
        <v>282</v>
      </c>
      <c r="B5" s="137">
        <v>1</v>
      </c>
    </row>
    <row r="6" spans="1:2">
      <c r="A6" s="136" t="s">
        <v>294</v>
      </c>
      <c r="B6" s="137">
        <v>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F012-9C9C-4ECF-A880-E8CAC743F212}">
  <dimension ref="A2:B17"/>
  <sheetViews>
    <sheetView workbookViewId="0">
      <selection activeCell="M24" sqref="M24"/>
    </sheetView>
  </sheetViews>
  <sheetFormatPr defaultRowHeight="12.75"/>
  <cols>
    <col min="1" max="2" width="16.140625" bestFit="1" customWidth="1"/>
    <col min="3" max="3" width="14.42578125" bestFit="1" customWidth="1"/>
    <col min="4" max="4" width="11.7109375" bestFit="1" customWidth="1"/>
  </cols>
  <sheetData>
    <row r="2" spans="1:2">
      <c r="A2" s="135" t="s">
        <v>252</v>
      </c>
      <c r="B2" t="s">
        <v>368</v>
      </c>
    </row>
    <row r="4" spans="1:2">
      <c r="A4" s="135" t="s">
        <v>293</v>
      </c>
      <c r="B4" t="s">
        <v>295</v>
      </c>
    </row>
    <row r="5" spans="1:2">
      <c r="A5" s="136">
        <v>2025</v>
      </c>
      <c r="B5" s="137">
        <v>0</v>
      </c>
    </row>
    <row r="6" spans="1:2">
      <c r="A6" s="142" t="s">
        <v>2</v>
      </c>
      <c r="B6" s="137">
        <v>0</v>
      </c>
    </row>
    <row r="7" spans="1:2">
      <c r="A7" s="142" t="s">
        <v>32</v>
      </c>
      <c r="B7" s="137">
        <v>0</v>
      </c>
    </row>
    <row r="8" spans="1:2">
      <c r="A8" s="142" t="s">
        <v>33</v>
      </c>
      <c r="B8" s="137">
        <v>0</v>
      </c>
    </row>
    <row r="9" spans="1:2">
      <c r="A9" s="142" t="s">
        <v>296</v>
      </c>
      <c r="B9" s="137">
        <v>0</v>
      </c>
    </row>
    <row r="10" spans="1:2">
      <c r="A10" s="142" t="s">
        <v>34</v>
      </c>
      <c r="B10" s="137">
        <v>0</v>
      </c>
    </row>
    <row r="11" spans="1:2">
      <c r="A11" s="142" t="s">
        <v>362</v>
      </c>
      <c r="B11" s="137">
        <v>0</v>
      </c>
    </row>
    <row r="12" spans="1:2">
      <c r="A12" s="142" t="s">
        <v>36</v>
      </c>
      <c r="B12" s="137">
        <v>0</v>
      </c>
    </row>
    <row r="13" spans="1:2">
      <c r="A13" s="142" t="s">
        <v>28</v>
      </c>
      <c r="B13" s="137">
        <v>0</v>
      </c>
    </row>
    <row r="14" spans="1:2">
      <c r="A14" s="142" t="s">
        <v>37</v>
      </c>
      <c r="B14" s="137">
        <v>0</v>
      </c>
    </row>
    <row r="15" spans="1:2">
      <c r="A15" s="142" t="s">
        <v>38</v>
      </c>
      <c r="B15" s="137">
        <v>0</v>
      </c>
    </row>
    <row r="16" spans="1:2">
      <c r="A16" s="142" t="s">
        <v>39</v>
      </c>
      <c r="B16" s="137">
        <v>0</v>
      </c>
    </row>
    <row r="17" spans="1:2">
      <c r="A17" s="136" t="s">
        <v>294</v>
      </c>
      <c r="B17" s="137">
        <v>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86A19-2458-4086-8C89-D45B1453FACF}">
  <sheetPr codeName="Sheet1"/>
  <dimension ref="A1:C7"/>
  <sheetViews>
    <sheetView workbookViewId="0">
      <selection activeCell="R18" sqref="R18"/>
    </sheetView>
  </sheetViews>
  <sheetFormatPr defaultRowHeight="12.75"/>
  <cols>
    <col min="1" max="1" width="13.85546875" bestFit="1" customWidth="1"/>
    <col min="2" max="2" width="17" bestFit="1" customWidth="1"/>
    <col min="3" max="4" width="11.7109375" bestFit="1" customWidth="1"/>
    <col min="5" max="5" width="5.7109375" bestFit="1" customWidth="1"/>
    <col min="6" max="6" width="2" bestFit="1" customWidth="1"/>
    <col min="7" max="7" width="11.7109375" bestFit="1" customWidth="1"/>
  </cols>
  <sheetData>
    <row r="1" spans="1:3">
      <c r="A1" s="135" t="s">
        <v>190</v>
      </c>
      <c r="B1" s="136">
        <v>2025</v>
      </c>
    </row>
    <row r="3" spans="1:3">
      <c r="A3" s="135" t="s">
        <v>295</v>
      </c>
      <c r="B3" s="135" t="s">
        <v>388</v>
      </c>
    </row>
    <row r="4" spans="1:3">
      <c r="A4" s="135" t="s">
        <v>293</v>
      </c>
      <c r="B4" t="s">
        <v>367</v>
      </c>
      <c r="C4" t="s">
        <v>294</v>
      </c>
    </row>
    <row r="5" spans="1:3">
      <c r="A5" s="136" t="s">
        <v>297</v>
      </c>
      <c r="B5" s="137">
        <v>1</v>
      </c>
      <c r="C5" s="137">
        <v>1</v>
      </c>
    </row>
    <row r="6" spans="1:3">
      <c r="A6" s="136" t="s">
        <v>231</v>
      </c>
      <c r="B6" s="137">
        <v>1</v>
      </c>
      <c r="C6" s="137">
        <v>1</v>
      </c>
    </row>
    <row r="7" spans="1:3">
      <c r="A7" s="136" t="s">
        <v>294</v>
      </c>
      <c r="B7" s="137">
        <v>2</v>
      </c>
      <c r="C7" s="137">
        <v>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FF94-4C4A-4098-8A91-869AB6CBEB87}">
  <sheetPr codeName="Sheet3"/>
  <dimension ref="A1:E26"/>
  <sheetViews>
    <sheetView workbookViewId="0">
      <selection activeCell="D5" sqref="D5"/>
    </sheetView>
  </sheetViews>
  <sheetFormatPr defaultRowHeight="12.75"/>
  <cols>
    <col min="1" max="1" width="18.140625" bestFit="1" customWidth="1"/>
    <col min="2" max="2" width="17" bestFit="1" customWidth="1"/>
    <col min="3" max="3" width="11.5703125" bestFit="1" customWidth="1"/>
    <col min="5" max="5" width="13.5703125" bestFit="1" customWidth="1"/>
  </cols>
  <sheetData>
    <row r="1" spans="1:5">
      <c r="A1" s="129" t="s">
        <v>252</v>
      </c>
      <c r="B1" s="129" t="s">
        <v>261</v>
      </c>
      <c r="C1" s="129" t="s">
        <v>281</v>
      </c>
      <c r="D1" s="129" t="s">
        <v>288</v>
      </c>
      <c r="E1" s="129" t="s">
        <v>299</v>
      </c>
    </row>
    <row r="2" spans="1:5">
      <c r="A2" s="128" t="s">
        <v>253</v>
      </c>
      <c r="B2" s="128" t="s">
        <v>229</v>
      </c>
      <c r="C2" s="128" t="s">
        <v>282</v>
      </c>
      <c r="D2" s="128" t="s">
        <v>289</v>
      </c>
      <c r="E2" s="128"/>
    </row>
    <row r="3" spans="1:5">
      <c r="A3" s="128" t="s">
        <v>254</v>
      </c>
      <c r="B3" s="128" t="s">
        <v>262</v>
      </c>
      <c r="C3" s="128" t="s">
        <v>283</v>
      </c>
      <c r="D3" s="128" t="s">
        <v>290</v>
      </c>
      <c r="E3" s="128"/>
    </row>
    <row r="4" spans="1:5">
      <c r="A4" s="128" t="s">
        <v>255</v>
      </c>
      <c r="B4" s="128" t="s">
        <v>263</v>
      </c>
      <c r="C4" s="128" t="s">
        <v>284</v>
      </c>
      <c r="D4" s="128" t="s">
        <v>291</v>
      </c>
      <c r="E4" s="128"/>
    </row>
    <row r="5" spans="1:5">
      <c r="A5" s="128" t="s">
        <v>256</v>
      </c>
      <c r="B5" s="128" t="s">
        <v>264</v>
      </c>
      <c r="C5" s="128" t="s">
        <v>285</v>
      </c>
      <c r="D5" s="128"/>
      <c r="E5" s="128"/>
    </row>
    <row r="6" spans="1:5">
      <c r="A6" s="128" t="s">
        <v>257</v>
      </c>
      <c r="B6" s="128" t="s">
        <v>265</v>
      </c>
      <c r="C6" s="128"/>
      <c r="D6" s="128"/>
      <c r="E6" s="128"/>
    </row>
    <row r="7" spans="1:5">
      <c r="A7" s="128" t="s">
        <v>367</v>
      </c>
      <c r="B7" s="128" t="s">
        <v>266</v>
      </c>
      <c r="C7" s="128"/>
      <c r="D7" s="128"/>
      <c r="E7" s="128"/>
    </row>
    <row r="8" spans="1:5">
      <c r="A8" s="128" t="s">
        <v>258</v>
      </c>
      <c r="B8" s="128" t="s">
        <v>267</v>
      </c>
      <c r="C8" s="128"/>
      <c r="D8" s="128"/>
      <c r="E8" s="128"/>
    </row>
    <row r="9" spans="1:5">
      <c r="A9" s="128" t="s">
        <v>259</v>
      </c>
      <c r="B9" s="128" t="s">
        <v>268</v>
      </c>
      <c r="C9" s="128"/>
      <c r="D9" s="128"/>
      <c r="E9" s="128"/>
    </row>
    <row r="10" spans="1:5">
      <c r="A10" s="128" t="s">
        <v>260</v>
      </c>
      <c r="B10" s="128" t="s">
        <v>269</v>
      </c>
      <c r="C10" s="128"/>
      <c r="D10" s="128"/>
      <c r="E10" s="128"/>
    </row>
    <row r="11" spans="1:5">
      <c r="A11" s="128" t="s">
        <v>363</v>
      </c>
      <c r="B11" s="128" t="s">
        <v>270</v>
      </c>
      <c r="C11" s="128"/>
      <c r="D11" s="128"/>
      <c r="E11" s="128"/>
    </row>
    <row r="12" spans="1:5">
      <c r="A12" s="128"/>
      <c r="B12" s="128" t="s">
        <v>271</v>
      </c>
      <c r="C12" s="128"/>
      <c r="D12" s="128"/>
      <c r="E12" s="128"/>
    </row>
    <row r="13" spans="1:5">
      <c r="A13" s="128"/>
      <c r="B13" s="128" t="s">
        <v>231</v>
      </c>
      <c r="C13" s="128"/>
      <c r="D13" s="128"/>
      <c r="E13" s="128"/>
    </row>
    <row r="14" spans="1:5">
      <c r="A14" s="128"/>
      <c r="B14" s="128" t="s">
        <v>227</v>
      </c>
      <c r="C14" s="128"/>
      <c r="D14" s="128"/>
      <c r="E14" s="128"/>
    </row>
    <row r="15" spans="1:5">
      <c r="A15" s="128"/>
      <c r="B15" s="128" t="s">
        <v>272</v>
      </c>
      <c r="C15" s="128"/>
      <c r="D15" s="128"/>
      <c r="E15" s="128"/>
    </row>
    <row r="16" spans="1:5">
      <c r="A16" s="128"/>
      <c r="B16" s="128" t="s">
        <v>273</v>
      </c>
      <c r="C16" s="128"/>
      <c r="D16" s="128"/>
      <c r="E16" s="128"/>
    </row>
    <row r="17" spans="1:5">
      <c r="A17" s="128"/>
      <c r="B17" s="128" t="s">
        <v>57</v>
      </c>
      <c r="C17" s="128"/>
      <c r="D17" s="128"/>
      <c r="E17" s="128"/>
    </row>
    <row r="18" spans="1:5">
      <c r="A18" s="128"/>
      <c r="B18" s="128" t="s">
        <v>274</v>
      </c>
      <c r="C18" s="128"/>
      <c r="D18" s="128"/>
      <c r="E18" s="128"/>
    </row>
    <row r="19" spans="1:5">
      <c r="A19" s="128"/>
      <c r="B19" s="128" t="s">
        <v>275</v>
      </c>
      <c r="C19" s="128"/>
      <c r="D19" s="128"/>
      <c r="E19" s="128"/>
    </row>
    <row r="20" spans="1:5">
      <c r="A20" s="128"/>
      <c r="B20" s="128" t="s">
        <v>276</v>
      </c>
      <c r="C20" s="128"/>
      <c r="D20" s="128"/>
      <c r="E20" s="128"/>
    </row>
    <row r="21" spans="1:5">
      <c r="A21" s="128"/>
      <c r="B21" s="128" t="s">
        <v>277</v>
      </c>
      <c r="C21" s="128"/>
      <c r="D21" s="128"/>
      <c r="E21" s="128"/>
    </row>
    <row r="22" spans="1:5">
      <c r="A22" s="128"/>
      <c r="B22" s="128" t="s">
        <v>278</v>
      </c>
      <c r="C22" s="128"/>
      <c r="D22" s="128"/>
      <c r="E22" s="128"/>
    </row>
    <row r="23" spans="1:5">
      <c r="A23" s="128"/>
      <c r="B23" s="128" t="s">
        <v>279</v>
      </c>
      <c r="C23" s="128"/>
      <c r="D23" s="128"/>
      <c r="E23" s="128"/>
    </row>
    <row r="24" spans="1:5">
      <c r="A24" s="128"/>
      <c r="B24" s="128" t="s">
        <v>280</v>
      </c>
      <c r="C24" s="128"/>
      <c r="D24" s="128"/>
      <c r="E24" s="128"/>
    </row>
    <row r="25" spans="1:5">
      <c r="A25" s="128"/>
      <c r="B25" s="128"/>
      <c r="C25" s="128"/>
      <c r="D25" s="128"/>
      <c r="E25" s="128"/>
    </row>
    <row r="26" spans="1:5">
      <c r="A26" s="128"/>
      <c r="B26" s="128"/>
      <c r="C26" s="128"/>
      <c r="D26" s="128"/>
      <c r="E26" s="128"/>
    </row>
  </sheetData>
  <phoneticPr fontId="6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54A45-AF94-4BD7-8C0C-1D859C82B159}">
  <sheetPr codeName="Sheet4"/>
  <dimension ref="A1:B17"/>
  <sheetViews>
    <sheetView workbookViewId="0">
      <selection activeCell="F32" sqref="F32"/>
    </sheetView>
  </sheetViews>
  <sheetFormatPr defaultRowHeight="12.75"/>
  <cols>
    <col min="1" max="2" width="16.140625" bestFit="1" customWidth="1"/>
    <col min="3" max="3" width="14.42578125" bestFit="1" customWidth="1"/>
    <col min="4" max="4" width="11.7109375" bestFit="1" customWidth="1"/>
  </cols>
  <sheetData>
    <row r="1" spans="1:2">
      <c r="A1" s="135" t="s">
        <v>252</v>
      </c>
      <c r="B1" t="s">
        <v>368</v>
      </c>
    </row>
    <row r="2" spans="1:2">
      <c r="A2" s="135" t="s">
        <v>190</v>
      </c>
      <c r="B2" t="s">
        <v>368</v>
      </c>
    </row>
    <row r="4" spans="1:2">
      <c r="A4" s="135" t="s">
        <v>293</v>
      </c>
    </row>
    <row r="5" spans="1:2">
      <c r="A5" s="136" t="s">
        <v>2</v>
      </c>
    </row>
    <row r="6" spans="1:2">
      <c r="A6" s="136" t="s">
        <v>32</v>
      </c>
    </row>
    <row r="7" spans="1:2">
      <c r="A7" s="136" t="s">
        <v>33</v>
      </c>
    </row>
    <row r="8" spans="1:2">
      <c r="A8" s="136" t="s">
        <v>296</v>
      </c>
    </row>
    <row r="9" spans="1:2">
      <c r="A9" s="136" t="s">
        <v>34</v>
      </c>
    </row>
    <row r="10" spans="1:2">
      <c r="A10" s="136" t="s">
        <v>361</v>
      </c>
    </row>
    <row r="11" spans="1:2">
      <c r="A11" s="136" t="s">
        <v>362</v>
      </c>
    </row>
    <row r="12" spans="1:2">
      <c r="A12" s="136" t="s">
        <v>36</v>
      </c>
    </row>
    <row r="13" spans="1:2">
      <c r="A13" s="136" t="s">
        <v>28</v>
      </c>
    </row>
    <row r="14" spans="1:2">
      <c r="A14" s="136" t="s">
        <v>37</v>
      </c>
    </row>
    <row r="15" spans="1:2">
      <c r="A15" s="136" t="s">
        <v>38</v>
      </c>
    </row>
    <row r="16" spans="1:2">
      <c r="A16" s="136" t="s">
        <v>39</v>
      </c>
    </row>
    <row r="17" spans="1:1">
      <c r="A17" s="136" t="s">
        <v>294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B598-1AF8-47B5-BC97-4C9AA95465BF}">
  <sheetPr codeName="Sheet5"/>
  <dimension ref="A2:B18"/>
  <sheetViews>
    <sheetView workbookViewId="0">
      <selection activeCell="G26" sqref="G26"/>
    </sheetView>
  </sheetViews>
  <sheetFormatPr defaultRowHeight="12.75"/>
  <cols>
    <col min="1" max="2" width="16.140625" bestFit="1" customWidth="1"/>
    <col min="3" max="3" width="14.42578125" bestFit="1" customWidth="1"/>
    <col min="4" max="4" width="11.7109375" bestFit="1" customWidth="1"/>
  </cols>
  <sheetData>
    <row r="2" spans="1:2">
      <c r="A2" s="135" t="s">
        <v>252</v>
      </c>
      <c r="B2" t="s">
        <v>368</v>
      </c>
    </row>
    <row r="4" spans="1:2">
      <c r="A4" s="135" t="s">
        <v>293</v>
      </c>
      <c r="B4" t="s">
        <v>295</v>
      </c>
    </row>
    <row r="5" spans="1:2">
      <c r="A5" s="136">
        <v>2025</v>
      </c>
      <c r="B5" s="137">
        <v>2</v>
      </c>
    </row>
    <row r="6" spans="1:2">
      <c r="A6" s="142" t="s">
        <v>2</v>
      </c>
      <c r="B6" s="137">
        <v>0</v>
      </c>
    </row>
    <row r="7" spans="1:2">
      <c r="A7" s="142" t="s">
        <v>32</v>
      </c>
      <c r="B7" s="137">
        <v>0</v>
      </c>
    </row>
    <row r="8" spans="1:2">
      <c r="A8" s="142" t="s">
        <v>33</v>
      </c>
      <c r="B8" s="137">
        <v>0</v>
      </c>
    </row>
    <row r="9" spans="1:2">
      <c r="A9" s="142" t="s">
        <v>296</v>
      </c>
      <c r="B9" s="137">
        <v>0</v>
      </c>
    </row>
    <row r="10" spans="1:2">
      <c r="A10" s="142" t="s">
        <v>34</v>
      </c>
      <c r="B10" s="137">
        <v>0</v>
      </c>
    </row>
    <row r="11" spans="1:2">
      <c r="A11" s="142" t="s">
        <v>361</v>
      </c>
      <c r="B11" s="137">
        <v>1</v>
      </c>
    </row>
    <row r="12" spans="1:2">
      <c r="A12" s="142" t="s">
        <v>362</v>
      </c>
      <c r="B12" s="137">
        <v>0</v>
      </c>
    </row>
    <row r="13" spans="1:2">
      <c r="A13" s="142" t="s">
        <v>36</v>
      </c>
      <c r="B13" s="137">
        <v>0</v>
      </c>
    </row>
    <row r="14" spans="1:2">
      <c r="A14" s="142" t="s">
        <v>28</v>
      </c>
      <c r="B14" s="137">
        <v>0</v>
      </c>
    </row>
    <row r="15" spans="1:2">
      <c r="A15" s="142" t="s">
        <v>37</v>
      </c>
      <c r="B15" s="137">
        <v>1</v>
      </c>
    </row>
    <row r="16" spans="1:2">
      <c r="A16" s="142" t="s">
        <v>38</v>
      </c>
      <c r="B16" s="137"/>
    </row>
    <row r="17" spans="1:2">
      <c r="A17" s="142" t="s">
        <v>39</v>
      </c>
      <c r="B17" s="137"/>
    </row>
    <row r="18" spans="1:2">
      <c r="A18" s="136" t="s">
        <v>294</v>
      </c>
      <c r="B18" s="137">
        <v>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3D90-E30B-4108-88D1-081BD798B8FC}">
  <dimension ref="A2:B16"/>
  <sheetViews>
    <sheetView workbookViewId="0">
      <selection activeCell="P17" sqref="P17"/>
    </sheetView>
  </sheetViews>
  <sheetFormatPr defaultRowHeight="12.75"/>
  <cols>
    <col min="1" max="1" width="16.140625" bestFit="1" customWidth="1"/>
    <col min="2" max="2" width="22.85546875" bestFit="1" customWidth="1"/>
  </cols>
  <sheetData>
    <row r="2" spans="1:2">
      <c r="A2" s="135" t="s">
        <v>252</v>
      </c>
      <c r="B2" t="s">
        <v>367</v>
      </c>
    </row>
    <row r="4" spans="1:2">
      <c r="A4" s="135" t="s">
        <v>293</v>
      </c>
      <c r="B4" t="s">
        <v>416</v>
      </c>
    </row>
    <row r="5" spans="1:2">
      <c r="A5" s="136">
        <v>2025</v>
      </c>
      <c r="B5" s="137">
        <v>81.96</v>
      </c>
    </row>
    <row r="6" spans="1:2">
      <c r="A6" s="142" t="s">
        <v>2</v>
      </c>
      <c r="B6" s="137">
        <v>0</v>
      </c>
    </row>
    <row r="7" spans="1:2">
      <c r="A7" s="142" t="s">
        <v>32</v>
      </c>
      <c r="B7" s="137">
        <v>0</v>
      </c>
    </row>
    <row r="8" spans="1:2">
      <c r="A8" s="142" t="s">
        <v>33</v>
      </c>
      <c r="B8" s="137">
        <v>0</v>
      </c>
    </row>
    <row r="9" spans="1:2">
      <c r="A9" s="142" t="s">
        <v>296</v>
      </c>
      <c r="B9" s="137">
        <v>1.92</v>
      </c>
    </row>
    <row r="10" spans="1:2">
      <c r="A10" s="142" t="s">
        <v>34</v>
      </c>
      <c r="B10" s="137">
        <v>0</v>
      </c>
    </row>
    <row r="11" spans="1:2">
      <c r="A11" s="142" t="s">
        <v>361</v>
      </c>
      <c r="B11" s="137">
        <v>12.76</v>
      </c>
    </row>
    <row r="12" spans="1:2">
      <c r="A12" s="142" t="s">
        <v>362</v>
      </c>
      <c r="B12" s="137">
        <v>24.76</v>
      </c>
    </row>
    <row r="13" spans="1:2">
      <c r="A13" s="142" t="s">
        <v>36</v>
      </c>
      <c r="B13" s="137">
        <v>23</v>
      </c>
    </row>
    <row r="14" spans="1:2">
      <c r="A14" s="142" t="s">
        <v>28</v>
      </c>
      <c r="B14" s="137">
        <v>5.44</v>
      </c>
    </row>
    <row r="15" spans="1:2">
      <c r="A15" s="142" t="s">
        <v>37</v>
      </c>
      <c r="B15" s="137">
        <v>14.08</v>
      </c>
    </row>
    <row r="16" spans="1:2">
      <c r="A16" s="136" t="s">
        <v>294</v>
      </c>
      <c r="B16" s="137">
        <v>81.96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F95C-0275-49E9-9970-859FFE02B22E}">
  <dimension ref="A3:B9"/>
  <sheetViews>
    <sheetView workbookViewId="0">
      <selection activeCell="E27" sqref="E27"/>
    </sheetView>
  </sheetViews>
  <sheetFormatPr defaultRowHeight="12.75"/>
  <cols>
    <col min="1" max="1" width="13.85546875" bestFit="1" customWidth="1"/>
    <col min="2" max="2" width="12.5703125" bestFit="1" customWidth="1"/>
  </cols>
  <sheetData>
    <row r="3" spans="1:2">
      <c r="A3" s="135" t="s">
        <v>293</v>
      </c>
      <c r="B3" t="s">
        <v>295</v>
      </c>
    </row>
    <row r="4" spans="1:2">
      <c r="A4" s="136" t="s">
        <v>396</v>
      </c>
      <c r="B4" s="137">
        <v>0</v>
      </c>
    </row>
    <row r="5" spans="1:2">
      <c r="A5" s="136" t="s">
        <v>395</v>
      </c>
      <c r="B5" s="137">
        <v>2</v>
      </c>
    </row>
    <row r="6" spans="1:2">
      <c r="A6" s="136" t="s">
        <v>394</v>
      </c>
      <c r="B6" s="137">
        <v>1</v>
      </c>
    </row>
    <row r="7" spans="1:2">
      <c r="A7" s="136" t="s">
        <v>392</v>
      </c>
      <c r="B7" s="137">
        <v>2</v>
      </c>
    </row>
    <row r="8" spans="1:2">
      <c r="A8" s="136" t="s">
        <v>393</v>
      </c>
      <c r="B8" s="137">
        <v>6</v>
      </c>
    </row>
    <row r="9" spans="1:2">
      <c r="A9" s="136" t="s">
        <v>294</v>
      </c>
      <c r="B9" s="137">
        <v>11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FC18-AE7F-49D0-8214-6BE14C920563}">
  <dimension ref="A3:B24"/>
  <sheetViews>
    <sheetView workbookViewId="0">
      <selection activeCell="C23" sqref="C23"/>
    </sheetView>
  </sheetViews>
  <sheetFormatPr defaultRowHeight="12.75"/>
  <cols>
    <col min="1" max="1" width="13.85546875" bestFit="1" customWidth="1"/>
    <col min="2" max="2" width="12.5703125" bestFit="1" customWidth="1"/>
  </cols>
  <sheetData>
    <row r="3" spans="1:2">
      <c r="A3" s="135" t="s">
        <v>293</v>
      </c>
      <c r="B3" t="s">
        <v>295</v>
      </c>
    </row>
    <row r="4" spans="1:2">
      <c r="A4" s="136">
        <v>2023</v>
      </c>
      <c r="B4" s="137">
        <v>1</v>
      </c>
    </row>
    <row r="5" spans="1:2">
      <c r="A5" s="142" t="s">
        <v>362</v>
      </c>
      <c r="B5" s="137">
        <v>0</v>
      </c>
    </row>
    <row r="6" spans="1:2">
      <c r="A6" s="142" t="s">
        <v>36</v>
      </c>
      <c r="B6" s="137">
        <v>0</v>
      </c>
    </row>
    <row r="7" spans="1:2">
      <c r="A7" s="142" t="s">
        <v>28</v>
      </c>
      <c r="B7" s="137">
        <v>0</v>
      </c>
    </row>
    <row r="8" spans="1:2">
      <c r="A8" s="142" t="s">
        <v>37</v>
      </c>
      <c r="B8" s="137">
        <v>0</v>
      </c>
    </row>
    <row r="9" spans="1:2">
      <c r="A9" s="142" t="s">
        <v>38</v>
      </c>
      <c r="B9" s="137">
        <v>1</v>
      </c>
    </row>
    <row r="10" spans="1:2">
      <c r="A10" s="142" t="s">
        <v>39</v>
      </c>
      <c r="B10" s="137">
        <v>0</v>
      </c>
    </row>
    <row r="11" spans="1:2">
      <c r="A11" s="136">
        <v>2024</v>
      </c>
      <c r="B11" s="137">
        <v>8</v>
      </c>
    </row>
    <row r="12" spans="1:2">
      <c r="A12" s="142" t="s">
        <v>2</v>
      </c>
      <c r="B12" s="137">
        <v>1</v>
      </c>
    </row>
    <row r="13" spans="1:2">
      <c r="A13" s="142" t="s">
        <v>32</v>
      </c>
      <c r="B13" s="137">
        <v>1</v>
      </c>
    </row>
    <row r="14" spans="1:2">
      <c r="A14" s="142" t="s">
        <v>33</v>
      </c>
      <c r="B14" s="137">
        <v>0</v>
      </c>
    </row>
    <row r="15" spans="1:2">
      <c r="A15" s="142" t="s">
        <v>296</v>
      </c>
      <c r="B15" s="137">
        <v>2</v>
      </c>
    </row>
    <row r="16" spans="1:2">
      <c r="A16" s="142" t="s">
        <v>34</v>
      </c>
      <c r="B16" s="137">
        <v>0</v>
      </c>
    </row>
    <row r="17" spans="1:2">
      <c r="A17" s="142" t="s">
        <v>361</v>
      </c>
      <c r="B17" s="137">
        <v>0</v>
      </c>
    </row>
    <row r="18" spans="1:2">
      <c r="A18" s="142" t="s">
        <v>362</v>
      </c>
      <c r="B18" s="137">
        <v>2</v>
      </c>
    </row>
    <row r="19" spans="1:2">
      <c r="A19" s="142" t="s">
        <v>36</v>
      </c>
      <c r="B19" s="137">
        <v>2</v>
      </c>
    </row>
    <row r="20" spans="1:2">
      <c r="A20" s="142" t="s">
        <v>28</v>
      </c>
      <c r="B20" s="137">
        <v>0</v>
      </c>
    </row>
    <row r="21" spans="1:2">
      <c r="A21" s="142" t="s">
        <v>37</v>
      </c>
      <c r="B21" s="137">
        <v>0</v>
      </c>
    </row>
    <row r="22" spans="1:2">
      <c r="A22" s="142" t="s">
        <v>38</v>
      </c>
      <c r="B22" s="137">
        <v>0</v>
      </c>
    </row>
    <row r="23" spans="1:2">
      <c r="A23" s="142" t="s">
        <v>39</v>
      </c>
      <c r="B23" s="137">
        <v>0</v>
      </c>
    </row>
    <row r="24" spans="1:2">
      <c r="A24" s="136" t="s">
        <v>294</v>
      </c>
      <c r="B24" s="137">
        <v>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03BB-2385-4E85-ACE0-07E6D3F3BEB5}">
  <sheetPr codeName="Sheet6" filterMode="1"/>
  <dimension ref="A1:V58"/>
  <sheetViews>
    <sheetView workbookViewId="0">
      <selection activeCell="I49" sqref="I49"/>
    </sheetView>
  </sheetViews>
  <sheetFormatPr defaultRowHeight="12.75"/>
  <cols>
    <col min="1" max="1" width="10.140625" style="128" bestFit="1" customWidth="1"/>
    <col min="2" max="2" width="16.140625" style="191" customWidth="1"/>
    <col min="3" max="3" width="11" style="219" customWidth="1"/>
    <col min="4" max="5" width="11" style="128" customWidth="1"/>
    <col min="6" max="6" width="14.5703125" style="157" customWidth="1"/>
    <col min="7" max="7" width="11.85546875" style="155" customWidth="1"/>
    <col min="8" max="8" width="20.5703125" style="128" customWidth="1"/>
    <col min="9" max="9" width="18.5703125" style="155" customWidth="1"/>
    <col min="10" max="10" width="9.140625" style="128"/>
    <col min="11" max="11" width="24" style="191" bestFit="1" customWidth="1"/>
    <col min="12" max="12" width="19.5703125" style="128" customWidth="1"/>
    <col min="13" max="13" width="13.5703125" style="128" bestFit="1" customWidth="1"/>
    <col min="14" max="15" width="13.5703125" style="165" customWidth="1"/>
    <col min="16" max="16" width="10" bestFit="1" customWidth="1"/>
    <col min="17" max="17" width="12.28515625" customWidth="1"/>
    <col min="18" max="18" width="6" customWidth="1"/>
    <col min="19" max="19" width="8" customWidth="1"/>
    <col min="20" max="20" width="10.28515625" customWidth="1"/>
  </cols>
  <sheetData>
    <row r="1" spans="1:22" s="138" customFormat="1" ht="39.75" customHeight="1">
      <c r="A1" s="127" t="s">
        <v>364</v>
      </c>
      <c r="B1" s="194" t="s">
        <v>391</v>
      </c>
      <c r="C1" s="127" t="s">
        <v>286</v>
      </c>
      <c r="D1" s="127" t="s">
        <v>190</v>
      </c>
      <c r="E1" s="127" t="s">
        <v>365</v>
      </c>
      <c r="F1" s="127" t="s">
        <v>281</v>
      </c>
      <c r="G1" s="211" t="s">
        <v>413</v>
      </c>
      <c r="H1" s="127" t="s">
        <v>252</v>
      </c>
      <c r="I1" s="127" t="s">
        <v>261</v>
      </c>
      <c r="J1" s="127" t="s">
        <v>287</v>
      </c>
      <c r="K1" s="194" t="s">
        <v>380</v>
      </c>
      <c r="L1" s="127" t="s">
        <v>288</v>
      </c>
      <c r="M1" s="127" t="s">
        <v>298</v>
      </c>
      <c r="N1" s="205"/>
      <c r="O1" s="205"/>
      <c r="P1" s="207" t="s">
        <v>286</v>
      </c>
      <c r="Q1" s="207" t="s">
        <v>397</v>
      </c>
      <c r="R1" s="207" t="s">
        <v>398</v>
      </c>
      <c r="S1" s="207" t="s">
        <v>399</v>
      </c>
      <c r="T1" s="207" t="s">
        <v>401</v>
      </c>
      <c r="U1" s="207" t="s">
        <v>400</v>
      </c>
      <c r="V1" s="207" t="s">
        <v>405</v>
      </c>
    </row>
    <row r="2" spans="1:22" s="138" customFormat="1" hidden="1">
      <c r="A2" s="158"/>
      <c r="B2" s="198"/>
      <c r="C2" s="37" t="s">
        <v>362</v>
      </c>
      <c r="D2" s="37">
        <v>2023</v>
      </c>
      <c r="E2" s="37"/>
      <c r="F2" s="144">
        <v>0</v>
      </c>
      <c r="G2" s="133">
        <v>0</v>
      </c>
      <c r="H2" s="133">
        <v>0</v>
      </c>
      <c r="I2" s="133">
        <v>0</v>
      </c>
      <c r="J2" s="130">
        <v>0</v>
      </c>
      <c r="K2" s="124"/>
      <c r="L2" s="127"/>
      <c r="M2" s="127"/>
      <c r="N2" s="205"/>
      <c r="O2" s="205"/>
      <c r="P2" s="198" t="s">
        <v>29</v>
      </c>
      <c r="Q2" s="191">
        <v>131</v>
      </c>
      <c r="R2" s="191">
        <v>40</v>
      </c>
      <c r="S2" s="191">
        <v>4</v>
      </c>
      <c r="T2" s="191">
        <f>Q2*R2*S2*7-143</f>
        <v>146577</v>
      </c>
      <c r="U2" s="191">
        <v>4</v>
      </c>
      <c r="V2" s="198">
        <f>U2*200000/T2</f>
        <v>5.4578822052573051</v>
      </c>
    </row>
    <row r="3" spans="1:22" s="138" customFormat="1" hidden="1">
      <c r="A3" s="158"/>
      <c r="B3" s="198"/>
      <c r="C3" s="37" t="s">
        <v>36</v>
      </c>
      <c r="D3" s="37">
        <v>2023</v>
      </c>
      <c r="E3" s="37"/>
      <c r="F3" s="144">
        <v>0</v>
      </c>
      <c r="G3" s="133">
        <v>0</v>
      </c>
      <c r="H3" s="133">
        <v>0</v>
      </c>
      <c r="I3" s="133">
        <v>0</v>
      </c>
      <c r="J3" s="130">
        <v>0</v>
      </c>
      <c r="K3" s="124"/>
      <c r="L3" s="127"/>
      <c r="M3" s="127"/>
      <c r="N3" s="205"/>
      <c r="O3" s="205"/>
      <c r="P3" s="198" t="s">
        <v>406</v>
      </c>
      <c r="Q3" s="198">
        <v>131</v>
      </c>
      <c r="R3" s="198">
        <v>40</v>
      </c>
      <c r="S3" s="198">
        <v>4</v>
      </c>
      <c r="T3" s="191">
        <f>Q3*R3*S3*7-133.01</f>
        <v>146586.99</v>
      </c>
      <c r="U3" s="198">
        <v>1</v>
      </c>
      <c r="V3" s="198">
        <f>U3*200000/T3</f>
        <v>1.3643775617467826</v>
      </c>
    </row>
    <row r="4" spans="1:22" s="138" customFormat="1" hidden="1">
      <c r="A4" s="158"/>
      <c r="B4" s="198"/>
      <c r="C4" s="37" t="s">
        <v>28</v>
      </c>
      <c r="D4" s="37">
        <v>2023</v>
      </c>
      <c r="E4" s="37"/>
      <c r="F4" s="144">
        <v>0</v>
      </c>
      <c r="G4" s="133">
        <v>0</v>
      </c>
      <c r="H4" s="133">
        <v>0</v>
      </c>
      <c r="I4" s="133">
        <v>0</v>
      </c>
      <c r="J4" s="130">
        <v>0</v>
      </c>
      <c r="K4" s="124"/>
      <c r="L4" s="127"/>
      <c r="M4" s="127"/>
      <c r="N4" s="205"/>
      <c r="O4" s="205"/>
      <c r="P4" s="198" t="s">
        <v>407</v>
      </c>
      <c r="Q4" s="198">
        <v>131</v>
      </c>
      <c r="R4" s="198">
        <v>40</v>
      </c>
      <c r="S4" s="198">
        <v>4</v>
      </c>
      <c r="T4" s="191">
        <f>Q4*R4*S4*7-6.72</f>
        <v>146713.28</v>
      </c>
      <c r="U4" s="198">
        <v>0</v>
      </c>
      <c r="V4" s="198">
        <f>U4*200000/T4</f>
        <v>0</v>
      </c>
    </row>
    <row r="5" spans="1:22" s="138" customFormat="1" hidden="1">
      <c r="A5" s="158"/>
      <c r="B5" s="198"/>
      <c r="C5" s="37" t="s">
        <v>37</v>
      </c>
      <c r="D5" s="37">
        <v>2023</v>
      </c>
      <c r="E5" s="37"/>
      <c r="F5" s="144">
        <v>0</v>
      </c>
      <c r="G5" s="133">
        <v>0</v>
      </c>
      <c r="H5" s="133">
        <v>0</v>
      </c>
      <c r="I5" s="133">
        <v>0</v>
      </c>
      <c r="J5" s="130">
        <v>0</v>
      </c>
      <c r="K5" s="195"/>
      <c r="L5" s="127"/>
      <c r="M5" s="127"/>
      <c r="N5" s="205"/>
      <c r="O5" s="205"/>
      <c r="P5" s="198" t="s">
        <v>408</v>
      </c>
      <c r="Q5" s="198">
        <v>131</v>
      </c>
      <c r="R5" s="198">
        <v>40</v>
      </c>
      <c r="S5" s="198">
        <v>4</v>
      </c>
      <c r="T5" s="191">
        <f t="shared" ref="T5:T7" si="0">Q5*R5*S5*7-6.72</f>
        <v>146713.28</v>
      </c>
      <c r="U5" s="198">
        <v>0</v>
      </c>
      <c r="V5" s="198">
        <f t="shared" ref="V5:V19" si="1">U5*200000/T5</f>
        <v>0</v>
      </c>
    </row>
    <row r="6" spans="1:22" s="138" customFormat="1" ht="33.75" hidden="1">
      <c r="A6" s="193">
        <v>45246</v>
      </c>
      <c r="B6" s="199" t="s">
        <v>392</v>
      </c>
      <c r="C6" s="37" t="s">
        <v>38</v>
      </c>
      <c r="D6" s="37">
        <v>2023</v>
      </c>
      <c r="E6" s="37" t="s">
        <v>379</v>
      </c>
      <c r="F6" s="144" t="s">
        <v>369</v>
      </c>
      <c r="G6" s="133">
        <v>22.84</v>
      </c>
      <c r="H6" s="133" t="s">
        <v>367</v>
      </c>
      <c r="I6" s="133" t="s">
        <v>231</v>
      </c>
      <c r="J6" s="130">
        <v>1</v>
      </c>
      <c r="K6" s="195" t="s">
        <v>381</v>
      </c>
      <c r="L6" s="127"/>
      <c r="M6" s="127"/>
      <c r="N6" s="205"/>
      <c r="O6" s="205"/>
      <c r="P6" s="198" t="s">
        <v>409</v>
      </c>
      <c r="Q6" s="198">
        <v>131</v>
      </c>
      <c r="R6" s="198">
        <v>40</v>
      </c>
      <c r="S6" s="198">
        <v>4</v>
      </c>
      <c r="T6" s="191">
        <f t="shared" si="0"/>
        <v>146713.28</v>
      </c>
      <c r="U6" s="198">
        <v>0</v>
      </c>
      <c r="V6" s="198">
        <f t="shared" si="1"/>
        <v>0</v>
      </c>
    </row>
    <row r="7" spans="1:22" s="138" customFormat="1" hidden="1">
      <c r="A7" s="158"/>
      <c r="B7" s="198"/>
      <c r="C7" s="37" t="s">
        <v>39</v>
      </c>
      <c r="D7" s="37">
        <v>2023</v>
      </c>
      <c r="E7" s="37"/>
      <c r="F7" s="144">
        <v>0</v>
      </c>
      <c r="G7" s="133">
        <v>0</v>
      </c>
      <c r="H7" s="133">
        <v>0</v>
      </c>
      <c r="I7" s="133">
        <v>0</v>
      </c>
      <c r="J7" s="130">
        <v>0</v>
      </c>
      <c r="K7" s="195"/>
      <c r="L7" s="127"/>
      <c r="M7" s="127"/>
      <c r="N7" s="205"/>
      <c r="O7" s="205"/>
      <c r="P7" s="198" t="s">
        <v>410</v>
      </c>
      <c r="Q7" s="198">
        <v>131</v>
      </c>
      <c r="R7" s="198">
        <v>40</v>
      </c>
      <c r="S7" s="198">
        <v>4</v>
      </c>
      <c r="T7" s="191">
        <f t="shared" si="0"/>
        <v>146713.28</v>
      </c>
      <c r="U7" s="198">
        <v>0</v>
      </c>
      <c r="V7" s="198">
        <f t="shared" si="1"/>
        <v>0</v>
      </c>
    </row>
    <row r="8" spans="1:22" hidden="1">
      <c r="A8" s="128" t="s">
        <v>378</v>
      </c>
      <c r="B8" s="191" t="s">
        <v>393</v>
      </c>
      <c r="C8" s="37" t="s">
        <v>2</v>
      </c>
      <c r="D8" s="37">
        <v>2024</v>
      </c>
      <c r="E8" s="37" t="s">
        <v>374</v>
      </c>
      <c r="F8" s="143" t="s">
        <v>41</v>
      </c>
      <c r="G8" s="134">
        <v>2</v>
      </c>
      <c r="H8" s="133" t="s">
        <v>367</v>
      </c>
      <c r="I8" s="133" t="s">
        <v>229</v>
      </c>
      <c r="J8" s="130">
        <v>1</v>
      </c>
      <c r="K8" s="195" t="s">
        <v>382</v>
      </c>
      <c r="L8" s="133"/>
      <c r="M8" s="133"/>
      <c r="N8" s="206"/>
      <c r="O8" s="206"/>
      <c r="P8" s="191" t="s">
        <v>2</v>
      </c>
      <c r="Q8" s="198">
        <v>131</v>
      </c>
      <c r="R8" s="198">
        <v>40</v>
      </c>
      <c r="S8" s="198">
        <v>4</v>
      </c>
      <c r="T8" s="191">
        <f t="shared" ref="T8:T19" si="2">Q8*R8*S8*7-6.72</f>
        <v>146713.28</v>
      </c>
      <c r="U8" s="191">
        <v>0</v>
      </c>
      <c r="V8" s="198">
        <f t="shared" si="1"/>
        <v>0</v>
      </c>
    </row>
    <row r="9" spans="1:22" hidden="1">
      <c r="A9" s="191"/>
      <c r="C9" s="37" t="s">
        <v>2</v>
      </c>
      <c r="D9" s="37">
        <v>2024</v>
      </c>
      <c r="E9" s="37"/>
      <c r="F9" s="144">
        <v>0</v>
      </c>
      <c r="G9" s="133">
        <v>0</v>
      </c>
      <c r="H9" s="133" t="s">
        <v>363</v>
      </c>
      <c r="I9" s="133">
        <v>0</v>
      </c>
      <c r="J9" s="130">
        <v>0</v>
      </c>
      <c r="K9" s="195"/>
      <c r="L9" s="192"/>
      <c r="M9" s="192"/>
      <c r="N9" s="206"/>
      <c r="O9" s="206"/>
      <c r="P9" s="191" t="s">
        <v>32</v>
      </c>
      <c r="Q9" s="198">
        <v>131</v>
      </c>
      <c r="R9" s="198">
        <v>40</v>
      </c>
      <c r="S9" s="198">
        <v>4</v>
      </c>
      <c r="T9" s="191">
        <f t="shared" si="2"/>
        <v>146713.28</v>
      </c>
      <c r="U9" s="191">
        <v>0</v>
      </c>
      <c r="V9" s="198">
        <f t="shared" si="1"/>
        <v>0</v>
      </c>
    </row>
    <row r="10" spans="1:22" ht="22.5" hidden="1">
      <c r="A10" s="159">
        <v>45329</v>
      </c>
      <c r="B10" s="191" t="s">
        <v>394</v>
      </c>
      <c r="C10" s="37" t="s">
        <v>32</v>
      </c>
      <c r="D10" s="37">
        <v>2024</v>
      </c>
      <c r="E10" s="37" t="s">
        <v>375</v>
      </c>
      <c r="F10" s="143" t="s">
        <v>25</v>
      </c>
      <c r="G10" s="132">
        <v>80</v>
      </c>
      <c r="H10" s="133" t="s">
        <v>367</v>
      </c>
      <c r="I10" s="133" t="s">
        <v>231</v>
      </c>
      <c r="J10" s="130">
        <v>1</v>
      </c>
      <c r="K10" s="195" t="s">
        <v>389</v>
      </c>
      <c r="L10" s="133"/>
      <c r="M10" s="133"/>
      <c r="N10" s="206"/>
      <c r="O10" s="206"/>
      <c r="P10" s="191" t="s">
        <v>33</v>
      </c>
      <c r="Q10" s="198">
        <v>131</v>
      </c>
      <c r="R10" s="198">
        <v>40</v>
      </c>
      <c r="S10" s="198">
        <v>4</v>
      </c>
      <c r="T10" s="191">
        <f t="shared" si="2"/>
        <v>146713.28</v>
      </c>
      <c r="U10" s="191">
        <v>0</v>
      </c>
      <c r="V10" s="198">
        <f t="shared" si="1"/>
        <v>0</v>
      </c>
    </row>
    <row r="11" spans="1:22" hidden="1">
      <c r="A11" s="200"/>
      <c r="C11" s="37" t="s">
        <v>32</v>
      </c>
      <c r="D11" s="37">
        <v>2024</v>
      </c>
      <c r="E11" s="37"/>
      <c r="F11" s="144">
        <v>0</v>
      </c>
      <c r="G11" s="133">
        <v>0</v>
      </c>
      <c r="H11" s="133" t="s">
        <v>363</v>
      </c>
      <c r="I11" s="133">
        <v>0</v>
      </c>
      <c r="J11" s="130">
        <v>0</v>
      </c>
      <c r="K11" s="195"/>
      <c r="L11" s="192"/>
      <c r="M11" s="192"/>
      <c r="N11" s="206"/>
      <c r="O11" s="206"/>
      <c r="P11" s="191" t="s">
        <v>296</v>
      </c>
      <c r="Q11" s="198">
        <v>131</v>
      </c>
      <c r="R11" s="198">
        <v>40</v>
      </c>
      <c r="S11" s="198">
        <v>4</v>
      </c>
      <c r="T11" s="191">
        <f t="shared" si="2"/>
        <v>146713.28</v>
      </c>
      <c r="U11" s="191">
        <v>0</v>
      </c>
      <c r="V11" s="198">
        <f t="shared" si="1"/>
        <v>0</v>
      </c>
    </row>
    <row r="12" spans="1:22" hidden="1">
      <c r="C12" s="37" t="s">
        <v>33</v>
      </c>
      <c r="D12" s="37">
        <v>2024</v>
      </c>
      <c r="E12" s="37" t="s">
        <v>375</v>
      </c>
      <c r="F12" s="143" t="s">
        <v>25</v>
      </c>
      <c r="G12" s="131">
        <v>200</v>
      </c>
      <c r="H12" s="133" t="s">
        <v>367</v>
      </c>
      <c r="I12" s="133" t="s">
        <v>231</v>
      </c>
      <c r="J12" s="130">
        <v>0</v>
      </c>
      <c r="K12" s="195"/>
      <c r="L12" s="133"/>
      <c r="M12" s="133"/>
      <c r="N12" s="206"/>
      <c r="O12" s="206"/>
      <c r="P12" s="191" t="s">
        <v>34</v>
      </c>
      <c r="Q12" s="198">
        <v>131</v>
      </c>
      <c r="R12" s="198">
        <v>40</v>
      </c>
      <c r="S12" s="198">
        <v>4</v>
      </c>
      <c r="T12" s="191">
        <f t="shared" si="2"/>
        <v>146713.28</v>
      </c>
      <c r="U12" s="191">
        <v>0</v>
      </c>
      <c r="V12" s="198">
        <f t="shared" si="1"/>
        <v>0</v>
      </c>
    </row>
    <row r="13" spans="1:22" hidden="1">
      <c r="A13" s="191"/>
      <c r="C13" s="37" t="s">
        <v>33</v>
      </c>
      <c r="D13" s="37">
        <v>2024</v>
      </c>
      <c r="E13" s="215"/>
      <c r="F13" s="144">
        <v>0</v>
      </c>
      <c r="G13" s="133">
        <v>0</v>
      </c>
      <c r="H13" s="133" t="s">
        <v>363</v>
      </c>
      <c r="I13" s="133">
        <v>0</v>
      </c>
      <c r="J13" s="130">
        <v>0</v>
      </c>
      <c r="K13" s="195"/>
      <c r="L13" s="192"/>
      <c r="M13" s="192"/>
      <c r="N13" s="206"/>
      <c r="O13" s="206"/>
      <c r="P13" s="191" t="s">
        <v>361</v>
      </c>
      <c r="Q13" s="198">
        <v>131</v>
      </c>
      <c r="R13" s="198">
        <v>40</v>
      </c>
      <c r="S13" s="198">
        <v>4</v>
      </c>
      <c r="T13" s="191">
        <f t="shared" si="2"/>
        <v>146713.28</v>
      </c>
      <c r="U13" s="191">
        <v>0</v>
      </c>
      <c r="V13" s="198">
        <f t="shared" si="1"/>
        <v>0</v>
      </c>
    </row>
    <row r="14" spans="1:22" ht="22.5" hidden="1">
      <c r="A14" s="159">
        <v>45759</v>
      </c>
      <c r="B14" s="191" t="s">
        <v>393</v>
      </c>
      <c r="C14" s="37" t="s">
        <v>296</v>
      </c>
      <c r="D14" s="37">
        <v>2024</v>
      </c>
      <c r="E14" s="37" t="s">
        <v>376</v>
      </c>
      <c r="F14" s="143" t="s">
        <v>41</v>
      </c>
      <c r="G14" s="131">
        <v>40.22</v>
      </c>
      <c r="H14" s="133" t="s">
        <v>367</v>
      </c>
      <c r="I14" s="133" t="s">
        <v>292</v>
      </c>
      <c r="J14" s="130">
        <v>1</v>
      </c>
      <c r="K14" s="195" t="s">
        <v>383</v>
      </c>
      <c r="L14" s="133"/>
      <c r="M14" s="133"/>
      <c r="N14" s="206"/>
      <c r="O14" s="206"/>
      <c r="P14" s="191" t="s">
        <v>362</v>
      </c>
      <c r="Q14" s="198">
        <v>131</v>
      </c>
      <c r="R14" s="198">
        <v>40</v>
      </c>
      <c r="S14" s="198">
        <v>4</v>
      </c>
      <c r="T14" s="191">
        <f t="shared" si="2"/>
        <v>146713.28</v>
      </c>
      <c r="U14" s="191">
        <v>1</v>
      </c>
      <c r="V14" s="198">
        <f t="shared" si="1"/>
        <v>1.3632031129015725</v>
      </c>
    </row>
    <row r="15" spans="1:22" ht="22.5" hidden="1">
      <c r="A15" s="159">
        <v>45426</v>
      </c>
      <c r="B15" s="200" t="s">
        <v>395</v>
      </c>
      <c r="C15" s="37" t="s">
        <v>296</v>
      </c>
      <c r="D15" s="37">
        <v>2024</v>
      </c>
      <c r="E15" s="37" t="s">
        <v>377</v>
      </c>
      <c r="F15" s="143" t="s">
        <v>41</v>
      </c>
      <c r="G15" s="131">
        <v>0</v>
      </c>
      <c r="H15" s="133" t="s">
        <v>367</v>
      </c>
      <c r="I15" s="133" t="s">
        <v>297</v>
      </c>
      <c r="J15" s="130">
        <v>1</v>
      </c>
      <c r="K15" s="195" t="s">
        <v>384</v>
      </c>
      <c r="L15" s="133"/>
      <c r="M15" s="133"/>
      <c r="N15" s="159">
        <v>45426</v>
      </c>
      <c r="O15" s="206">
        <f>NETWORKDAYS(N15,N16)</f>
        <v>59</v>
      </c>
      <c r="P15" s="191" t="s">
        <v>36</v>
      </c>
      <c r="Q15" s="198">
        <v>131</v>
      </c>
      <c r="R15" s="198">
        <v>40</v>
      </c>
      <c r="S15" s="198">
        <v>4</v>
      </c>
      <c r="T15" s="191">
        <f t="shared" si="2"/>
        <v>146713.28</v>
      </c>
      <c r="U15" s="191">
        <v>0</v>
      </c>
      <c r="V15" s="198">
        <f t="shared" si="1"/>
        <v>0</v>
      </c>
    </row>
    <row r="16" spans="1:22" hidden="1">
      <c r="C16" s="37" t="s">
        <v>296</v>
      </c>
      <c r="D16" s="37">
        <v>2024</v>
      </c>
      <c r="E16" s="37" t="s">
        <v>375</v>
      </c>
      <c r="F16" s="143" t="s">
        <v>25</v>
      </c>
      <c r="G16" s="132">
        <v>88.5</v>
      </c>
      <c r="H16" s="133" t="s">
        <v>367</v>
      </c>
      <c r="I16" s="133" t="s">
        <v>231</v>
      </c>
      <c r="J16" s="130">
        <v>0</v>
      </c>
      <c r="K16" s="195"/>
      <c r="L16" s="133"/>
      <c r="M16" s="133"/>
      <c r="N16" s="159">
        <v>45506</v>
      </c>
      <c r="O16" s="206"/>
      <c r="P16" s="191" t="s">
        <v>28</v>
      </c>
      <c r="Q16" s="198">
        <v>131</v>
      </c>
      <c r="R16" s="198">
        <v>40</v>
      </c>
      <c r="S16" s="198">
        <v>4</v>
      </c>
      <c r="T16" s="191">
        <f t="shared" si="2"/>
        <v>146713.28</v>
      </c>
      <c r="U16" s="191">
        <v>0</v>
      </c>
      <c r="V16" s="198">
        <f t="shared" si="1"/>
        <v>0</v>
      </c>
    </row>
    <row r="17" spans="1:22" hidden="1">
      <c r="A17" s="191"/>
      <c r="C17" s="37" t="s">
        <v>296</v>
      </c>
      <c r="D17" s="37">
        <v>2024</v>
      </c>
      <c r="E17" s="215"/>
      <c r="F17" s="144">
        <v>0</v>
      </c>
      <c r="G17" s="133">
        <v>0</v>
      </c>
      <c r="H17" s="133" t="s">
        <v>363</v>
      </c>
      <c r="I17" s="133">
        <v>0</v>
      </c>
      <c r="J17" s="130">
        <v>0</v>
      </c>
      <c r="K17" s="195"/>
      <c r="L17" s="192"/>
      <c r="M17" s="192"/>
      <c r="N17" s="206"/>
      <c r="O17" s="206"/>
      <c r="P17" s="191" t="s">
        <v>37</v>
      </c>
      <c r="Q17" s="198">
        <v>131</v>
      </c>
      <c r="R17" s="198">
        <v>40</v>
      </c>
      <c r="S17" s="198">
        <v>4</v>
      </c>
      <c r="T17" s="191">
        <f t="shared" si="2"/>
        <v>146713.28</v>
      </c>
      <c r="U17" s="191">
        <v>1</v>
      </c>
      <c r="V17" s="198">
        <f t="shared" si="1"/>
        <v>1.3632031129015725</v>
      </c>
    </row>
    <row r="18" spans="1:22" hidden="1">
      <c r="C18" s="37" t="s">
        <v>34</v>
      </c>
      <c r="D18" s="37">
        <v>2024</v>
      </c>
      <c r="E18" s="37" t="s">
        <v>377</v>
      </c>
      <c r="F18" s="143" t="s">
        <v>41</v>
      </c>
      <c r="G18" s="131">
        <v>29.63</v>
      </c>
      <c r="H18" s="133" t="s">
        <v>367</v>
      </c>
      <c r="I18" s="133" t="s">
        <v>297</v>
      </c>
      <c r="J18" s="130">
        <v>0</v>
      </c>
      <c r="K18" s="195"/>
      <c r="L18" s="133"/>
      <c r="M18" s="133"/>
      <c r="N18" s="206"/>
      <c r="O18" s="206"/>
      <c r="P18" s="191" t="s">
        <v>38</v>
      </c>
      <c r="Q18" s="198">
        <v>131</v>
      </c>
      <c r="R18" s="198">
        <v>40</v>
      </c>
      <c r="S18" s="198">
        <v>4</v>
      </c>
      <c r="T18" s="191">
        <f t="shared" si="2"/>
        <v>146713.28</v>
      </c>
      <c r="U18" s="191">
        <v>0</v>
      </c>
      <c r="V18" s="198">
        <f t="shared" si="1"/>
        <v>0</v>
      </c>
    </row>
    <row r="19" spans="1:22" hidden="1">
      <c r="A19" s="159"/>
      <c r="B19" s="200"/>
      <c r="C19" s="37" t="s">
        <v>34</v>
      </c>
      <c r="D19" s="37">
        <v>2024</v>
      </c>
      <c r="E19" s="37" t="s">
        <v>375</v>
      </c>
      <c r="F19" s="143" t="s">
        <v>25</v>
      </c>
      <c r="G19" s="131">
        <v>9.01</v>
      </c>
      <c r="H19" s="133" t="s">
        <v>367</v>
      </c>
      <c r="I19" s="133" t="s">
        <v>231</v>
      </c>
      <c r="J19" s="130">
        <v>0</v>
      </c>
      <c r="K19" s="195"/>
      <c r="L19" s="133"/>
      <c r="M19" s="133"/>
      <c r="N19" s="206"/>
      <c r="O19" s="206"/>
      <c r="P19" s="191" t="s">
        <v>39</v>
      </c>
      <c r="Q19" s="198">
        <v>131</v>
      </c>
      <c r="R19" s="198">
        <v>40</v>
      </c>
      <c r="S19" s="198">
        <v>4</v>
      </c>
      <c r="T19" s="191">
        <f t="shared" si="2"/>
        <v>146713.28</v>
      </c>
      <c r="U19" s="191">
        <v>0</v>
      </c>
      <c r="V19" s="198">
        <f t="shared" si="1"/>
        <v>0</v>
      </c>
    </row>
    <row r="20" spans="1:22" hidden="1">
      <c r="A20" s="200"/>
      <c r="B20" s="200"/>
      <c r="C20" s="37" t="s">
        <v>34</v>
      </c>
      <c r="D20" s="37">
        <v>2024</v>
      </c>
      <c r="E20" s="215"/>
      <c r="F20" s="144">
        <v>0</v>
      </c>
      <c r="G20" s="133">
        <v>0</v>
      </c>
      <c r="H20" s="133" t="s">
        <v>363</v>
      </c>
      <c r="I20" s="133">
        <v>0</v>
      </c>
      <c r="J20" s="130">
        <v>0</v>
      </c>
      <c r="K20" s="195"/>
      <c r="L20" s="192"/>
      <c r="M20" s="192"/>
      <c r="N20" s="206"/>
      <c r="O20" s="206"/>
    </row>
    <row r="21" spans="1:22" hidden="1">
      <c r="B21" s="191" t="s">
        <v>396</v>
      </c>
      <c r="C21" s="37" t="s">
        <v>361</v>
      </c>
      <c r="D21" s="37">
        <v>2024</v>
      </c>
      <c r="E21" s="37"/>
      <c r="F21" s="144">
        <v>0</v>
      </c>
      <c r="G21" s="133">
        <v>0</v>
      </c>
      <c r="H21" s="133" t="s">
        <v>367</v>
      </c>
      <c r="I21" s="133">
        <v>0</v>
      </c>
      <c r="J21" s="130">
        <v>0</v>
      </c>
      <c r="K21" s="195"/>
      <c r="L21" s="133"/>
      <c r="M21" s="133"/>
      <c r="N21" s="206"/>
      <c r="O21" s="206"/>
    </row>
    <row r="22" spans="1:22" hidden="1">
      <c r="A22" s="191"/>
      <c r="B22" s="199" t="s">
        <v>392</v>
      </c>
      <c r="C22" s="37" t="s">
        <v>361</v>
      </c>
      <c r="D22" s="37">
        <v>2024</v>
      </c>
      <c r="E22" s="37"/>
      <c r="F22" s="144">
        <v>0</v>
      </c>
      <c r="G22" s="133">
        <v>0</v>
      </c>
      <c r="H22" s="133" t="s">
        <v>363</v>
      </c>
      <c r="I22" s="133">
        <v>0</v>
      </c>
      <c r="J22" s="130">
        <v>0</v>
      </c>
      <c r="K22" s="195"/>
      <c r="L22" s="192"/>
      <c r="M22" s="192"/>
      <c r="N22" s="206"/>
      <c r="O22" s="206"/>
    </row>
    <row r="23" spans="1:22" ht="22.5" hidden="1">
      <c r="A23" s="159">
        <v>45485</v>
      </c>
      <c r="B23" s="191" t="s">
        <v>393</v>
      </c>
      <c r="C23" s="156" t="s">
        <v>362</v>
      </c>
      <c r="D23" s="156">
        <v>2024</v>
      </c>
      <c r="E23" s="156" t="s">
        <v>366</v>
      </c>
      <c r="F23" s="143" t="s">
        <v>41</v>
      </c>
      <c r="G23" s="155">
        <v>0</v>
      </c>
      <c r="H23" s="133" t="s">
        <v>363</v>
      </c>
      <c r="I23" s="133" t="s">
        <v>231</v>
      </c>
      <c r="J23" s="130">
        <v>1</v>
      </c>
      <c r="K23" s="195" t="s">
        <v>387</v>
      </c>
    </row>
    <row r="24" spans="1:22" ht="22.5" hidden="1">
      <c r="A24" s="159">
        <v>45496</v>
      </c>
      <c r="B24" s="200" t="s">
        <v>395</v>
      </c>
      <c r="C24" s="156" t="s">
        <v>362</v>
      </c>
      <c r="D24" s="156">
        <v>2024</v>
      </c>
      <c r="E24" s="156" t="s">
        <v>385</v>
      </c>
      <c r="F24" s="157" t="s">
        <v>420</v>
      </c>
      <c r="G24" s="155">
        <v>0</v>
      </c>
      <c r="H24" s="133" t="s">
        <v>363</v>
      </c>
      <c r="I24" s="155" t="s">
        <v>231</v>
      </c>
      <c r="J24" s="130">
        <v>1</v>
      </c>
      <c r="K24" s="195" t="s">
        <v>386</v>
      </c>
    </row>
    <row r="25" spans="1:22" hidden="1">
      <c r="C25" s="156" t="s">
        <v>362</v>
      </c>
      <c r="D25" s="156">
        <v>2024</v>
      </c>
      <c r="E25" s="37" t="s">
        <v>375</v>
      </c>
      <c r="F25" s="143" t="s">
        <v>25</v>
      </c>
      <c r="G25" s="197">
        <v>143</v>
      </c>
      <c r="H25" s="133" t="s">
        <v>367</v>
      </c>
      <c r="I25" s="196" t="s">
        <v>231</v>
      </c>
      <c r="J25" s="130">
        <v>0</v>
      </c>
      <c r="K25" s="195"/>
    </row>
    <row r="26" spans="1:22" ht="38.25" hidden="1">
      <c r="A26" s="159">
        <v>45506</v>
      </c>
      <c r="B26" s="191" t="s">
        <v>393</v>
      </c>
      <c r="C26" s="219" t="s">
        <v>36</v>
      </c>
      <c r="D26" s="156">
        <v>2024</v>
      </c>
      <c r="E26" s="128" t="s">
        <v>411</v>
      </c>
      <c r="F26" s="157" t="s">
        <v>41</v>
      </c>
      <c r="G26" s="155">
        <v>2.09</v>
      </c>
      <c r="H26" s="133" t="s">
        <v>367</v>
      </c>
      <c r="I26" s="155" t="s">
        <v>231</v>
      </c>
      <c r="J26" s="130">
        <v>1</v>
      </c>
      <c r="K26" s="210" t="s">
        <v>412</v>
      </c>
    </row>
    <row r="27" spans="1:22" ht="38.25" hidden="1">
      <c r="A27" s="159">
        <v>45512</v>
      </c>
      <c r="B27" s="191" t="s">
        <v>392</v>
      </c>
      <c r="C27" s="219" t="s">
        <v>36</v>
      </c>
      <c r="D27" s="156">
        <v>2024</v>
      </c>
      <c r="E27" s="128" t="s">
        <v>414</v>
      </c>
      <c r="F27" s="157" t="s">
        <v>41</v>
      </c>
      <c r="G27" s="155">
        <v>0</v>
      </c>
      <c r="H27" s="133" t="s">
        <v>363</v>
      </c>
      <c r="I27" s="155" t="s">
        <v>231</v>
      </c>
      <c r="J27" s="130">
        <v>1</v>
      </c>
      <c r="K27" s="210" t="s">
        <v>415</v>
      </c>
    </row>
    <row r="28" spans="1:22" hidden="1">
      <c r="C28" s="219" t="s">
        <v>36</v>
      </c>
      <c r="D28" s="156">
        <v>2024</v>
      </c>
      <c r="E28" s="37" t="s">
        <v>375</v>
      </c>
      <c r="F28" s="143" t="s">
        <v>25</v>
      </c>
      <c r="G28" s="197">
        <v>132.1</v>
      </c>
      <c r="H28" s="133" t="s">
        <v>367</v>
      </c>
      <c r="I28" s="209" t="s">
        <v>231</v>
      </c>
      <c r="J28" s="130">
        <v>0</v>
      </c>
    </row>
    <row r="29" spans="1:22" hidden="1">
      <c r="C29" s="219" t="s">
        <v>28</v>
      </c>
      <c r="D29" s="156">
        <v>2024</v>
      </c>
      <c r="E29" s="37" t="s">
        <v>375</v>
      </c>
      <c r="F29" s="143" t="s">
        <v>25</v>
      </c>
      <c r="G29" s="155">
        <v>6.27</v>
      </c>
      <c r="H29" s="133" t="s">
        <v>367</v>
      </c>
      <c r="I29" s="216" t="s">
        <v>231</v>
      </c>
      <c r="J29" s="130">
        <v>0</v>
      </c>
    </row>
    <row r="30" spans="1:22" hidden="1">
      <c r="C30" s="219" t="s">
        <v>28</v>
      </c>
      <c r="D30" s="37">
        <v>2024</v>
      </c>
      <c r="E30" s="37"/>
      <c r="F30" s="144">
        <v>0</v>
      </c>
      <c r="G30" s="133">
        <v>0</v>
      </c>
      <c r="H30" s="133" t="s">
        <v>363</v>
      </c>
      <c r="I30" s="133">
        <v>0</v>
      </c>
      <c r="J30" s="130">
        <v>0</v>
      </c>
    </row>
    <row r="31" spans="1:22" hidden="1">
      <c r="C31" s="219" t="s">
        <v>37</v>
      </c>
      <c r="D31" s="37">
        <v>2024</v>
      </c>
      <c r="E31" s="37"/>
      <c r="F31" s="144">
        <v>0</v>
      </c>
      <c r="G31" s="133">
        <v>0</v>
      </c>
      <c r="H31" s="133" t="s">
        <v>363</v>
      </c>
      <c r="I31" s="133">
        <v>0</v>
      </c>
      <c r="J31" s="130">
        <v>0</v>
      </c>
    </row>
    <row r="32" spans="1:22" hidden="1">
      <c r="C32" s="219" t="s">
        <v>37</v>
      </c>
      <c r="D32" s="156">
        <v>2024</v>
      </c>
      <c r="E32" s="37" t="s">
        <v>375</v>
      </c>
      <c r="F32" s="143" t="s">
        <v>25</v>
      </c>
      <c r="G32" s="217">
        <v>7.29</v>
      </c>
      <c r="H32" s="133" t="s">
        <v>367</v>
      </c>
      <c r="I32" s="217" t="s">
        <v>231</v>
      </c>
      <c r="J32" s="130">
        <v>0</v>
      </c>
    </row>
    <row r="33" spans="1:13" hidden="1">
      <c r="A33" s="159">
        <v>38292</v>
      </c>
      <c r="C33" s="219" t="s">
        <v>38</v>
      </c>
      <c r="D33" s="37">
        <v>2024</v>
      </c>
      <c r="E33" s="37" t="s">
        <v>375</v>
      </c>
      <c r="F33" s="143" t="s">
        <v>25</v>
      </c>
      <c r="G33" s="133">
        <v>0</v>
      </c>
      <c r="H33" s="133" t="s">
        <v>363</v>
      </c>
      <c r="I33" s="133">
        <v>0</v>
      </c>
      <c r="J33" s="130">
        <v>0</v>
      </c>
    </row>
    <row r="34" spans="1:13" hidden="1">
      <c r="C34" s="219" t="s">
        <v>38</v>
      </c>
      <c r="D34" s="37">
        <v>2024</v>
      </c>
      <c r="E34" s="37" t="s">
        <v>375</v>
      </c>
      <c r="F34" s="143" t="s">
        <v>25</v>
      </c>
      <c r="G34" s="218">
        <v>3</v>
      </c>
      <c r="H34" s="133" t="s">
        <v>367</v>
      </c>
      <c r="I34" s="218" t="s">
        <v>231</v>
      </c>
      <c r="J34" s="130">
        <v>0</v>
      </c>
    </row>
    <row r="35" spans="1:13" hidden="1">
      <c r="A35" s="159">
        <v>45627</v>
      </c>
      <c r="C35" s="219" t="s">
        <v>39</v>
      </c>
      <c r="D35" s="37">
        <v>2024</v>
      </c>
      <c r="E35" s="37" t="s">
        <v>375</v>
      </c>
      <c r="F35" s="143" t="s">
        <v>25</v>
      </c>
      <c r="G35" s="133">
        <v>0</v>
      </c>
      <c r="H35" s="133" t="s">
        <v>363</v>
      </c>
      <c r="I35" s="133">
        <v>0</v>
      </c>
      <c r="J35" s="130">
        <v>0</v>
      </c>
    </row>
    <row r="36" spans="1:13" hidden="1">
      <c r="C36" s="219" t="s">
        <v>39</v>
      </c>
      <c r="D36" s="37">
        <v>2024</v>
      </c>
      <c r="E36" s="37" t="s">
        <v>375</v>
      </c>
      <c r="F36" s="143" t="s">
        <v>25</v>
      </c>
      <c r="G36" s="133">
        <v>0</v>
      </c>
      <c r="H36" s="133" t="s">
        <v>367</v>
      </c>
      <c r="I36" s="133">
        <v>0</v>
      </c>
      <c r="J36" s="130">
        <v>0</v>
      </c>
    </row>
    <row r="37" spans="1:13" hidden="1">
      <c r="A37" s="159">
        <v>45658</v>
      </c>
      <c r="C37" s="219" t="s">
        <v>2</v>
      </c>
      <c r="D37" s="37">
        <v>2025</v>
      </c>
      <c r="E37" s="37" t="s">
        <v>375</v>
      </c>
      <c r="F37" s="143" t="s">
        <v>25</v>
      </c>
      <c r="G37" s="133">
        <v>0</v>
      </c>
      <c r="H37" s="133" t="s">
        <v>363</v>
      </c>
      <c r="I37" s="133">
        <v>0</v>
      </c>
      <c r="J37" s="130">
        <v>0</v>
      </c>
    </row>
    <row r="38" spans="1:13" hidden="1">
      <c r="C38" s="219" t="s">
        <v>2</v>
      </c>
      <c r="D38" s="37">
        <v>2025</v>
      </c>
      <c r="E38" s="37" t="s">
        <v>375</v>
      </c>
      <c r="F38" s="143" t="s">
        <v>25</v>
      </c>
      <c r="G38" s="133">
        <v>0</v>
      </c>
      <c r="H38" s="133" t="s">
        <v>367</v>
      </c>
      <c r="I38" s="133">
        <v>0</v>
      </c>
      <c r="J38" s="130">
        <v>0</v>
      </c>
    </row>
    <row r="39" spans="1:13" hidden="1">
      <c r="A39" s="159">
        <v>45658</v>
      </c>
      <c r="C39" s="219" t="s">
        <v>32</v>
      </c>
      <c r="D39" s="37">
        <v>2025</v>
      </c>
      <c r="E39" s="37" t="s">
        <v>375</v>
      </c>
      <c r="F39" s="143" t="s">
        <v>25</v>
      </c>
      <c r="G39" s="133">
        <v>0</v>
      </c>
      <c r="H39" s="133" t="s">
        <v>363</v>
      </c>
      <c r="I39" s="133">
        <v>0</v>
      </c>
      <c r="J39" s="130">
        <v>0</v>
      </c>
    </row>
    <row r="40" spans="1:13" hidden="1">
      <c r="C40" s="219" t="s">
        <v>32</v>
      </c>
      <c r="D40" s="37">
        <v>2025</v>
      </c>
      <c r="E40" s="37" t="s">
        <v>375</v>
      </c>
      <c r="F40" s="143" t="s">
        <v>25</v>
      </c>
      <c r="G40" s="133">
        <v>0</v>
      </c>
      <c r="H40" s="133" t="s">
        <v>367</v>
      </c>
      <c r="I40" s="133">
        <v>0</v>
      </c>
      <c r="J40" s="130">
        <v>0</v>
      </c>
    </row>
    <row r="41" spans="1:13" hidden="1">
      <c r="A41" s="159">
        <v>45717</v>
      </c>
      <c r="C41" s="219" t="s">
        <v>33</v>
      </c>
      <c r="D41" s="37">
        <v>2025</v>
      </c>
      <c r="E41" s="37" t="s">
        <v>375</v>
      </c>
      <c r="F41" s="143" t="s">
        <v>25</v>
      </c>
      <c r="G41" s="133">
        <v>0</v>
      </c>
      <c r="H41" s="133" t="s">
        <v>363</v>
      </c>
      <c r="I41" s="133">
        <v>0</v>
      </c>
      <c r="J41" s="130">
        <v>0</v>
      </c>
    </row>
    <row r="42" spans="1:13" hidden="1">
      <c r="C42" s="219" t="s">
        <v>33</v>
      </c>
      <c r="D42" s="37">
        <v>2025</v>
      </c>
      <c r="E42" s="37" t="s">
        <v>375</v>
      </c>
      <c r="F42" s="143" t="s">
        <v>25</v>
      </c>
      <c r="G42" s="133">
        <v>0</v>
      </c>
      <c r="H42" s="133" t="s">
        <v>367</v>
      </c>
      <c r="I42" s="133">
        <v>0</v>
      </c>
      <c r="J42" s="130">
        <v>0</v>
      </c>
    </row>
    <row r="43" spans="1:13" hidden="1">
      <c r="A43" s="159">
        <v>45748</v>
      </c>
      <c r="C43" s="219" t="s">
        <v>296</v>
      </c>
      <c r="D43" s="37">
        <v>2025</v>
      </c>
      <c r="E43" s="37" t="s">
        <v>375</v>
      </c>
      <c r="F43" s="143" t="s">
        <v>25</v>
      </c>
      <c r="G43" s="133">
        <v>0</v>
      </c>
      <c r="H43" s="133" t="s">
        <v>363</v>
      </c>
      <c r="I43" s="133">
        <v>0</v>
      </c>
      <c r="J43" s="130">
        <v>0</v>
      </c>
    </row>
    <row r="44" spans="1:13" hidden="1">
      <c r="C44" s="219" t="s">
        <v>296</v>
      </c>
      <c r="D44" s="37">
        <v>2025</v>
      </c>
      <c r="E44" s="37" t="s">
        <v>375</v>
      </c>
      <c r="F44" s="143" t="s">
        <v>25</v>
      </c>
      <c r="G44" s="133">
        <v>1.92</v>
      </c>
      <c r="H44" s="133" t="s">
        <v>367</v>
      </c>
      <c r="I44" s="133">
        <v>0</v>
      </c>
      <c r="J44" s="130">
        <v>0</v>
      </c>
    </row>
    <row r="45" spans="1:13" hidden="1">
      <c r="A45" s="159">
        <v>45778</v>
      </c>
      <c r="C45" s="219" t="s">
        <v>34</v>
      </c>
      <c r="D45" s="37">
        <v>2025</v>
      </c>
      <c r="E45" s="37" t="s">
        <v>375</v>
      </c>
      <c r="F45" s="143" t="s">
        <v>25</v>
      </c>
      <c r="G45" s="155">
        <v>9.77</v>
      </c>
      <c r="H45" s="133" t="s">
        <v>363</v>
      </c>
      <c r="I45" s="133">
        <v>0</v>
      </c>
      <c r="J45" s="130">
        <v>0</v>
      </c>
    </row>
    <row r="46" spans="1:13" hidden="1">
      <c r="A46" s="191"/>
      <c r="C46" s="219" t="s">
        <v>34</v>
      </c>
      <c r="D46" s="37">
        <v>2025</v>
      </c>
      <c r="E46" s="37" t="s">
        <v>375</v>
      </c>
      <c r="F46" s="143" t="s">
        <v>25</v>
      </c>
      <c r="G46" s="133">
        <v>0</v>
      </c>
      <c r="H46" s="133" t="s">
        <v>367</v>
      </c>
      <c r="I46" s="133">
        <v>0</v>
      </c>
      <c r="J46" s="130">
        <v>0</v>
      </c>
      <c r="L46" s="191"/>
      <c r="M46" s="191"/>
    </row>
    <row r="47" spans="1:13">
      <c r="A47" s="159">
        <v>45821</v>
      </c>
      <c r="B47" s="191" t="s">
        <v>393</v>
      </c>
      <c r="C47" s="219" t="s">
        <v>361</v>
      </c>
      <c r="D47" s="37">
        <v>2025</v>
      </c>
      <c r="E47" s="128" t="s">
        <v>429</v>
      </c>
      <c r="F47" s="157" t="s">
        <v>282</v>
      </c>
      <c r="G47" s="155">
        <v>3.22</v>
      </c>
      <c r="H47" s="133" t="s">
        <v>367</v>
      </c>
      <c r="I47" s="133" t="s">
        <v>297</v>
      </c>
      <c r="J47" s="130">
        <v>1</v>
      </c>
      <c r="K47" s="191" t="s">
        <v>428</v>
      </c>
    </row>
    <row r="48" spans="1:13" hidden="1">
      <c r="A48" s="191"/>
      <c r="C48" s="219" t="s">
        <v>361</v>
      </c>
      <c r="D48" s="37">
        <v>2025</v>
      </c>
      <c r="E48" s="37" t="s">
        <v>375</v>
      </c>
      <c r="F48" s="143" t="s">
        <v>25</v>
      </c>
      <c r="G48" s="220">
        <v>9.5399999999999991</v>
      </c>
      <c r="H48" s="133" t="s">
        <v>367</v>
      </c>
      <c r="I48" s="192"/>
      <c r="J48" s="130">
        <v>0</v>
      </c>
      <c r="L48" s="191"/>
      <c r="M48" s="191"/>
    </row>
    <row r="49" spans="1:13">
      <c r="A49" s="159">
        <v>45839</v>
      </c>
      <c r="C49" s="219" t="s">
        <v>362</v>
      </c>
      <c r="D49" s="37">
        <v>2025</v>
      </c>
      <c r="E49" s="128" t="s">
        <v>429</v>
      </c>
      <c r="F49" s="157" t="s">
        <v>282</v>
      </c>
      <c r="G49" s="155">
        <v>24.76</v>
      </c>
      <c r="H49" s="133" t="s">
        <v>367</v>
      </c>
      <c r="I49" s="133">
        <v>0</v>
      </c>
      <c r="J49" s="130">
        <v>0</v>
      </c>
    </row>
    <row r="50" spans="1:13" hidden="1">
      <c r="A50" s="191"/>
      <c r="C50" s="219" t="s">
        <v>362</v>
      </c>
      <c r="D50" s="37">
        <v>2025</v>
      </c>
      <c r="E50" s="37" t="s">
        <v>375</v>
      </c>
      <c r="F50" s="143" t="s">
        <v>25</v>
      </c>
      <c r="G50" s="133">
        <v>0</v>
      </c>
      <c r="H50" s="133" t="s">
        <v>363</v>
      </c>
      <c r="I50" s="133">
        <v>0</v>
      </c>
      <c r="J50" s="130">
        <v>0</v>
      </c>
      <c r="L50" s="191"/>
      <c r="M50" s="191"/>
    </row>
    <row r="51" spans="1:13" hidden="1">
      <c r="A51" s="159">
        <v>45870</v>
      </c>
      <c r="C51" s="219" t="s">
        <v>36</v>
      </c>
      <c r="D51" s="37">
        <v>2025</v>
      </c>
      <c r="E51" s="37" t="s">
        <v>375</v>
      </c>
      <c r="F51" s="143" t="s">
        <v>25</v>
      </c>
      <c r="G51" s="155">
        <v>23</v>
      </c>
      <c r="H51" s="133" t="s">
        <v>367</v>
      </c>
      <c r="I51" s="133">
        <v>0</v>
      </c>
      <c r="J51" s="130">
        <v>0</v>
      </c>
    </row>
    <row r="52" spans="1:13" hidden="1">
      <c r="A52" s="191"/>
      <c r="C52" s="219" t="s">
        <v>36</v>
      </c>
      <c r="D52" s="37">
        <v>2025</v>
      </c>
      <c r="E52" s="37" t="s">
        <v>375</v>
      </c>
      <c r="F52" s="143" t="s">
        <v>25</v>
      </c>
      <c r="G52" s="133">
        <v>0</v>
      </c>
      <c r="H52" s="133" t="s">
        <v>363</v>
      </c>
      <c r="I52" s="133">
        <v>0</v>
      </c>
      <c r="J52" s="130">
        <v>0</v>
      </c>
      <c r="L52" s="191"/>
      <c r="M52" s="191"/>
    </row>
    <row r="53" spans="1:13" hidden="1">
      <c r="A53" s="159">
        <v>45901</v>
      </c>
      <c r="C53" s="219" t="s">
        <v>28</v>
      </c>
      <c r="D53" s="37">
        <v>2025</v>
      </c>
      <c r="G53" s="155">
        <v>5.44</v>
      </c>
      <c r="H53" s="133" t="s">
        <v>367</v>
      </c>
      <c r="I53" s="133">
        <v>0</v>
      </c>
      <c r="J53" s="130">
        <v>0</v>
      </c>
    </row>
    <row r="54" spans="1:13" hidden="1">
      <c r="A54" s="191"/>
      <c r="C54" s="219" t="s">
        <v>28</v>
      </c>
      <c r="D54" s="37">
        <v>2025</v>
      </c>
      <c r="E54" s="37" t="s">
        <v>375</v>
      </c>
      <c r="F54" s="143" t="s">
        <v>25</v>
      </c>
      <c r="G54" s="133">
        <v>0</v>
      </c>
      <c r="H54" s="133" t="s">
        <v>363</v>
      </c>
      <c r="I54" s="133">
        <v>0</v>
      </c>
      <c r="J54" s="130">
        <v>0</v>
      </c>
      <c r="L54" s="191"/>
      <c r="M54" s="191"/>
    </row>
    <row r="55" spans="1:13" ht="38.25" hidden="1">
      <c r="A55" s="159">
        <v>45961</v>
      </c>
      <c r="B55" s="191" t="s">
        <v>393</v>
      </c>
      <c r="C55" s="219" t="s">
        <v>37</v>
      </c>
      <c r="D55" s="37">
        <v>2025</v>
      </c>
      <c r="E55" s="128" t="s">
        <v>426</v>
      </c>
      <c r="F55" s="143" t="s">
        <v>41</v>
      </c>
      <c r="G55" s="155">
        <v>14.08</v>
      </c>
      <c r="H55" s="133" t="s">
        <v>367</v>
      </c>
      <c r="I55" s="219" t="s">
        <v>231</v>
      </c>
      <c r="J55" s="130">
        <v>1</v>
      </c>
      <c r="K55" s="210" t="s">
        <v>427</v>
      </c>
    </row>
    <row r="56" spans="1:13" hidden="1">
      <c r="C56" s="219" t="s">
        <v>37</v>
      </c>
      <c r="D56" s="37">
        <v>2025</v>
      </c>
      <c r="E56" s="37" t="s">
        <v>375</v>
      </c>
      <c r="F56" s="143" t="s">
        <v>25</v>
      </c>
      <c r="G56" s="133">
        <v>0</v>
      </c>
      <c r="H56" s="133" t="s">
        <v>363</v>
      </c>
      <c r="I56" s="133">
        <v>0</v>
      </c>
      <c r="J56" s="130">
        <v>0</v>
      </c>
    </row>
    <row r="57" spans="1:13" hidden="1">
      <c r="C57" s="219" t="s">
        <v>38</v>
      </c>
      <c r="D57" s="37">
        <v>2025</v>
      </c>
    </row>
    <row r="58" spans="1:13" hidden="1">
      <c r="C58" s="219" t="s">
        <v>39</v>
      </c>
      <c r="D58" s="37">
        <v>2025</v>
      </c>
    </row>
  </sheetData>
  <autoFilter ref="A1:M58" xr:uid="{AAE703BB-2385-4E85-ACE0-07E6D3F3BEB5}">
    <filterColumn colId="5">
      <filters>
        <filter val="Warehouse"/>
      </filters>
    </filterColumn>
  </autoFilter>
  <phoneticPr fontId="6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0D74101-8DF8-4553-81FF-83C0F779F705}">
          <x14:formula1>
            <xm:f>DATATABLE!$A$2:$A$10</xm:f>
          </x14:formula1>
          <xm:sqref>H18 H15</xm:sqref>
        </x14:dataValidation>
        <x14:dataValidation type="list" allowBlank="1" showInputMessage="1" showErrorMessage="1" xr:uid="{800295C7-FDCC-45AB-91B9-C5A6D2C16EFD}">
          <x14:formula1>
            <xm:f>DATATABLE!$A$2:$A$26</xm:f>
          </x14:formula1>
          <xm:sqref>H22:H24 H9 H11 H13 H17 H20 H30:H31 H33 H35 H37 H39 H41 H43 H45 H52 H50 H54 H56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9EC5-026A-4E39-B290-F68405C526E7}">
  <dimension ref="A1:C6"/>
  <sheetViews>
    <sheetView workbookViewId="0">
      <selection activeCell="M8" sqref="M8"/>
    </sheetView>
  </sheetViews>
  <sheetFormatPr defaultRowHeight="12.75"/>
  <cols>
    <col min="1" max="1" width="13.85546875" bestFit="1" customWidth="1"/>
    <col min="2" max="2" width="17" bestFit="1" customWidth="1"/>
    <col min="3" max="4" width="11.7109375" bestFit="1" customWidth="1"/>
  </cols>
  <sheetData>
    <row r="1" spans="1:3">
      <c r="A1" s="135" t="s">
        <v>190</v>
      </c>
      <c r="B1" s="136">
        <v>2025</v>
      </c>
    </row>
    <row r="3" spans="1:3">
      <c r="A3" s="135" t="s">
        <v>295</v>
      </c>
      <c r="B3" s="135" t="s">
        <v>388</v>
      </c>
    </row>
    <row r="4" spans="1:3">
      <c r="A4" s="135" t="s">
        <v>293</v>
      </c>
      <c r="B4" t="s">
        <v>367</v>
      </c>
      <c r="C4" t="s">
        <v>294</v>
      </c>
    </row>
    <row r="5" spans="1:3">
      <c r="A5" s="136" t="s">
        <v>393</v>
      </c>
      <c r="B5" s="137">
        <v>2</v>
      </c>
      <c r="C5" s="137">
        <v>2</v>
      </c>
    </row>
    <row r="6" spans="1:3">
      <c r="A6" s="136" t="s">
        <v>294</v>
      </c>
      <c r="B6" s="137">
        <v>2</v>
      </c>
      <c r="C6" s="137">
        <v>2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R87"/>
  <sheetViews>
    <sheetView topLeftCell="A61" zoomScaleNormal="100" workbookViewId="0">
      <selection activeCell="F82" sqref="F82"/>
    </sheetView>
  </sheetViews>
  <sheetFormatPr defaultColWidth="9" defaultRowHeight="11.25"/>
  <cols>
    <col min="1" max="1" width="9" style="1" customWidth="1"/>
    <col min="2" max="2" width="11.42578125" style="1" customWidth="1"/>
    <col min="3" max="5" width="9" style="1"/>
    <col min="6" max="6" width="9.7109375" style="1" customWidth="1"/>
    <col min="7" max="7" width="9" style="1" customWidth="1"/>
    <col min="8" max="8" width="9" style="1"/>
    <col min="9" max="9" width="10.140625" style="1" bestFit="1" customWidth="1"/>
    <col min="10" max="10" width="9" style="1"/>
    <col min="11" max="11" width="10.7109375" style="1" customWidth="1"/>
    <col min="12" max="13" width="9" style="1"/>
    <col min="14" max="14" width="9.85546875" style="1" customWidth="1"/>
    <col min="15" max="16384" width="9" style="46"/>
  </cols>
  <sheetData>
    <row r="1" spans="1:18" ht="15.75" customHeight="1">
      <c r="A1" s="45" t="s">
        <v>16</v>
      </c>
    </row>
    <row r="2" spans="1:18" ht="12" thickBot="1">
      <c r="A2" s="45" t="s">
        <v>17</v>
      </c>
      <c r="B2" s="45"/>
      <c r="C2" s="3">
        <v>45413</v>
      </c>
    </row>
    <row r="3" spans="1:18" ht="45">
      <c r="A3" s="4" t="s">
        <v>19</v>
      </c>
      <c r="B3" s="5" t="s">
        <v>30</v>
      </c>
      <c r="C3" s="5" t="s">
        <v>20</v>
      </c>
      <c r="D3" s="6" t="s">
        <v>21</v>
      </c>
      <c r="E3" s="6" t="s">
        <v>22</v>
      </c>
      <c r="F3" s="69" t="s">
        <v>23</v>
      </c>
      <c r="G3" s="70" t="s">
        <v>0</v>
      </c>
      <c r="H3" s="47"/>
      <c r="I3" s="47"/>
      <c r="J3" s="47"/>
      <c r="K3" s="48"/>
    </row>
    <row r="4" spans="1:18">
      <c r="A4" s="79">
        <v>10</v>
      </c>
      <c r="B4" s="80" t="s">
        <v>41</v>
      </c>
      <c r="C4" s="81">
        <v>29.63</v>
      </c>
      <c r="D4" s="49">
        <v>1909.07</v>
      </c>
      <c r="E4" s="81">
        <f>65.06+C4</f>
        <v>94.69</v>
      </c>
      <c r="F4" s="1">
        <f>4017.63+D4</f>
        <v>5926.7</v>
      </c>
      <c r="G4" s="73" t="s">
        <v>236</v>
      </c>
      <c r="I4" s="2"/>
      <c r="K4" s="50"/>
      <c r="M4" s="82"/>
    </row>
    <row r="5" spans="1:18">
      <c r="A5" s="7">
        <v>12</v>
      </c>
      <c r="B5" s="76" t="s">
        <v>42</v>
      </c>
      <c r="C5" s="83"/>
      <c r="D5" s="49"/>
      <c r="E5" s="77"/>
      <c r="F5" s="84"/>
      <c r="G5" s="72"/>
      <c r="H5" s="46"/>
      <c r="I5" s="46"/>
      <c r="J5" s="46"/>
      <c r="K5" s="50"/>
    </row>
    <row r="6" spans="1:18">
      <c r="A6" s="7">
        <v>10</v>
      </c>
      <c r="B6" s="76" t="s">
        <v>24</v>
      </c>
      <c r="C6" s="83"/>
      <c r="E6" s="77"/>
      <c r="F6" s="85"/>
      <c r="G6" s="72"/>
      <c r="K6" s="50"/>
      <c r="N6" s="86"/>
    </row>
    <row r="7" spans="1:18">
      <c r="A7" s="7">
        <v>60</v>
      </c>
      <c r="B7" s="76" t="s">
        <v>25</v>
      </c>
      <c r="C7" s="87">
        <v>9.01</v>
      </c>
      <c r="D7" s="49">
        <v>1216.3499999999999</v>
      </c>
      <c r="E7" s="88">
        <f>368.5+C7</f>
        <v>377.51</v>
      </c>
      <c r="F7" s="84">
        <f>49747.5+D7</f>
        <v>50963.85</v>
      </c>
      <c r="G7" s="72" t="s">
        <v>232</v>
      </c>
      <c r="K7" s="50"/>
      <c r="M7" s="86"/>
      <c r="P7" s="42"/>
    </row>
    <row r="8" spans="1:18" ht="12.75">
      <c r="A8" s="7">
        <v>70</v>
      </c>
      <c r="B8" s="89" t="s">
        <v>26</v>
      </c>
      <c r="C8" s="90"/>
      <c r="D8" s="51"/>
      <c r="E8" s="91"/>
      <c r="F8" s="84"/>
      <c r="G8" s="71"/>
      <c r="I8" s="2"/>
      <c r="K8" s="50"/>
      <c r="M8" s="92"/>
      <c r="P8" s="52"/>
      <c r="Q8" s="52"/>
      <c r="R8" s="52"/>
    </row>
    <row r="9" spans="1:18">
      <c r="A9" s="8">
        <v>92</v>
      </c>
      <c r="B9" s="76" t="s">
        <v>18</v>
      </c>
      <c r="C9" s="83"/>
      <c r="D9" s="77"/>
      <c r="E9" s="77"/>
      <c r="F9" s="84"/>
      <c r="G9" s="73"/>
      <c r="K9" s="50"/>
      <c r="O9" s="67"/>
    </row>
    <row r="10" spans="1:18" ht="12.75">
      <c r="A10" s="38" t="s">
        <v>224</v>
      </c>
      <c r="B10" s="93"/>
      <c r="C10" s="94">
        <f>SUM(C4:C9)</f>
        <v>38.64</v>
      </c>
      <c r="D10" s="95">
        <f>SUM(D4:D9)</f>
        <v>3125.42</v>
      </c>
      <c r="E10" s="94">
        <f>SUM(E4:E9)</f>
        <v>472.2</v>
      </c>
      <c r="F10" s="94">
        <f>SUM(F4:F9)</f>
        <v>56890.549999999996</v>
      </c>
      <c r="G10" s="73"/>
      <c r="K10" s="50"/>
      <c r="M10" s="45"/>
      <c r="N10" s="61"/>
      <c r="P10" s="52"/>
      <c r="Q10" s="52"/>
      <c r="R10" s="52"/>
    </row>
    <row r="11" spans="1:18">
      <c r="A11" s="38" t="s">
        <v>225</v>
      </c>
      <c r="B11" s="93"/>
      <c r="C11" s="96">
        <v>0</v>
      </c>
      <c r="D11" s="97">
        <f>SUM(D7:D9)</f>
        <v>1216.3499999999999</v>
      </c>
      <c r="E11" s="96">
        <v>29.09</v>
      </c>
      <c r="F11" s="98">
        <v>3207.18</v>
      </c>
      <c r="G11" s="73"/>
      <c r="K11" s="50"/>
    </row>
    <row r="12" spans="1:18" ht="12" thickBot="1">
      <c r="A12" s="38" t="s">
        <v>92</v>
      </c>
      <c r="B12" s="93"/>
      <c r="C12" s="96">
        <v>0</v>
      </c>
      <c r="D12" s="97">
        <v>0</v>
      </c>
      <c r="E12" s="96">
        <v>301.10000000000002</v>
      </c>
      <c r="F12" s="99">
        <v>16447.27</v>
      </c>
      <c r="G12" s="74"/>
      <c r="H12" s="10"/>
      <c r="I12" s="10"/>
      <c r="J12" s="10"/>
      <c r="K12" s="56"/>
    </row>
    <row r="13" spans="1:18">
      <c r="A13" s="38" t="s">
        <v>89</v>
      </c>
      <c r="B13" s="96"/>
      <c r="C13" s="96">
        <v>0</v>
      </c>
      <c r="D13" s="97">
        <v>0</v>
      </c>
      <c r="E13" s="96">
        <v>63.13</v>
      </c>
      <c r="F13" s="97">
        <v>4801.78</v>
      </c>
      <c r="K13" s="50"/>
    </row>
    <row r="14" spans="1:18">
      <c r="A14" s="38" t="s">
        <v>79</v>
      </c>
      <c r="B14" s="96"/>
      <c r="C14" s="96">
        <v>0</v>
      </c>
      <c r="D14" s="97">
        <v>0</v>
      </c>
      <c r="E14" s="96">
        <v>10.76</v>
      </c>
      <c r="F14" s="96">
        <v>546.61</v>
      </c>
      <c r="K14" s="50"/>
    </row>
    <row r="15" spans="1:18" ht="12" thickBot="1">
      <c r="A15" s="40" t="s">
        <v>70</v>
      </c>
      <c r="B15" s="53"/>
      <c r="C15" s="53">
        <v>0</v>
      </c>
      <c r="D15" s="54">
        <v>0</v>
      </c>
      <c r="E15" s="55">
        <v>142.75</v>
      </c>
      <c r="F15" s="55">
        <v>7273.02</v>
      </c>
      <c r="G15" s="10"/>
      <c r="H15" s="10"/>
      <c r="I15" s="10"/>
      <c r="J15" s="10"/>
      <c r="K15" s="56"/>
    </row>
    <row r="16" spans="1:18">
      <c r="A16" s="41" t="s">
        <v>71</v>
      </c>
      <c r="B16" s="100"/>
      <c r="C16" s="100">
        <v>0</v>
      </c>
      <c r="D16" s="101">
        <v>0</v>
      </c>
      <c r="E16" s="101">
        <v>62.39</v>
      </c>
      <c r="F16" s="101">
        <v>3877.14</v>
      </c>
      <c r="K16" s="50"/>
    </row>
    <row r="17" spans="1:14">
      <c r="A17" s="38" t="s">
        <v>72</v>
      </c>
      <c r="B17" s="96"/>
      <c r="C17" s="96">
        <v>0</v>
      </c>
      <c r="D17" s="101">
        <v>0</v>
      </c>
      <c r="E17" s="96">
        <v>44.86</v>
      </c>
      <c r="F17" s="97">
        <v>2553.4699999999998</v>
      </c>
      <c r="K17" s="50"/>
    </row>
    <row r="18" spans="1:14" ht="12" thickBot="1">
      <c r="A18" s="39" t="s">
        <v>64</v>
      </c>
      <c r="B18" s="53"/>
      <c r="C18" s="57">
        <v>0</v>
      </c>
      <c r="D18" s="54">
        <v>0</v>
      </c>
      <c r="E18" s="57">
        <v>298.39999999999998</v>
      </c>
      <c r="F18" s="54">
        <v>12058.79</v>
      </c>
      <c r="G18" s="10"/>
      <c r="H18" s="10"/>
      <c r="I18" s="10"/>
      <c r="J18" s="10"/>
      <c r="K18" s="56"/>
    </row>
    <row r="19" spans="1:14">
      <c r="A19" s="102" t="s">
        <v>58</v>
      </c>
      <c r="B19" s="100"/>
      <c r="C19" s="100">
        <v>0</v>
      </c>
      <c r="D19" s="101">
        <v>0</v>
      </c>
      <c r="E19" s="100">
        <v>46.05</v>
      </c>
      <c r="F19" s="101">
        <v>2068.69</v>
      </c>
      <c r="K19" s="50"/>
    </row>
    <row r="20" spans="1:14">
      <c r="A20" s="102" t="s">
        <v>49</v>
      </c>
      <c r="B20" s="96"/>
      <c r="C20" s="100">
        <v>0</v>
      </c>
      <c r="D20" s="101">
        <v>0</v>
      </c>
      <c r="E20" s="100">
        <v>51.48</v>
      </c>
      <c r="F20" s="101">
        <v>1725.75</v>
      </c>
      <c r="K20" s="50"/>
    </row>
    <row r="21" spans="1:14">
      <c r="A21" s="102" t="s">
        <v>50</v>
      </c>
      <c r="B21" s="96"/>
      <c r="C21" s="96">
        <v>0</v>
      </c>
      <c r="D21" s="97">
        <v>0</v>
      </c>
      <c r="E21" s="100">
        <v>283.22000000000003</v>
      </c>
      <c r="F21" s="101">
        <v>11949.05</v>
      </c>
      <c r="K21" s="50"/>
    </row>
    <row r="22" spans="1:14">
      <c r="A22" s="102" t="s">
        <v>27</v>
      </c>
      <c r="B22" s="96"/>
      <c r="C22" s="96">
        <v>0</v>
      </c>
      <c r="D22" s="97">
        <v>0</v>
      </c>
      <c r="E22" s="77">
        <v>370.59</v>
      </c>
      <c r="F22" s="88">
        <v>10669.08</v>
      </c>
      <c r="K22" s="50"/>
    </row>
    <row r="23" spans="1:14" ht="12" thickBot="1">
      <c r="A23" s="9" t="s">
        <v>62</v>
      </c>
      <c r="B23" s="53"/>
      <c r="C23" s="58">
        <v>0</v>
      </c>
      <c r="D23" s="55">
        <v>0</v>
      </c>
      <c r="E23" s="55">
        <v>176.5</v>
      </c>
      <c r="F23" s="55">
        <v>5802</v>
      </c>
      <c r="G23" s="10"/>
      <c r="H23" s="10"/>
      <c r="I23" s="10"/>
      <c r="J23" s="10"/>
      <c r="K23" s="56"/>
    </row>
    <row r="24" spans="1:14">
      <c r="A24" s="59"/>
      <c r="C24" s="60"/>
      <c r="D24" s="61"/>
      <c r="E24" s="61"/>
      <c r="F24" s="61"/>
    </row>
    <row r="25" spans="1:14" ht="12" thickBot="1">
      <c r="A25" s="62" t="s">
        <v>1</v>
      </c>
    </row>
    <row r="26" spans="1:14">
      <c r="A26" s="11"/>
      <c r="B26" s="12" t="s">
        <v>29</v>
      </c>
      <c r="C26" s="12" t="s">
        <v>36</v>
      </c>
      <c r="D26" s="12" t="s">
        <v>28</v>
      </c>
      <c r="E26" s="12" t="s">
        <v>37</v>
      </c>
      <c r="F26" s="12" t="s">
        <v>38</v>
      </c>
      <c r="G26" s="12" t="s">
        <v>39</v>
      </c>
      <c r="H26" s="12" t="s">
        <v>2</v>
      </c>
      <c r="I26" s="12" t="s">
        <v>32</v>
      </c>
      <c r="J26" s="12" t="s">
        <v>33</v>
      </c>
      <c r="K26" s="12" t="s">
        <v>3</v>
      </c>
      <c r="L26" s="12" t="s">
        <v>34</v>
      </c>
      <c r="M26" s="13" t="s">
        <v>35</v>
      </c>
      <c r="N26" s="14" t="s">
        <v>65</v>
      </c>
    </row>
    <row r="27" spans="1:14">
      <c r="A27" s="15" t="s">
        <v>4</v>
      </c>
      <c r="B27" s="103">
        <v>0</v>
      </c>
      <c r="C27" s="103">
        <v>1</v>
      </c>
      <c r="D27" s="103">
        <v>1</v>
      </c>
      <c r="E27" s="103">
        <v>1</v>
      </c>
      <c r="F27" s="103">
        <v>1</v>
      </c>
      <c r="G27" s="103">
        <v>0</v>
      </c>
      <c r="H27" s="103">
        <v>0</v>
      </c>
      <c r="I27" s="103">
        <v>1</v>
      </c>
      <c r="J27" s="103">
        <v>0</v>
      </c>
      <c r="K27" s="103">
        <v>0</v>
      </c>
      <c r="L27" s="103">
        <v>0</v>
      </c>
      <c r="M27" s="104">
        <v>1</v>
      </c>
      <c r="N27" s="16">
        <f>SUM(B27:M27)</f>
        <v>6</v>
      </c>
    </row>
    <row r="28" spans="1:14">
      <c r="A28" s="15" t="s">
        <v>5</v>
      </c>
      <c r="B28" s="105"/>
      <c r="C28" s="105" t="s">
        <v>6</v>
      </c>
      <c r="D28" s="105" t="s">
        <v>7</v>
      </c>
      <c r="E28" s="105" t="s">
        <v>47</v>
      </c>
      <c r="F28" s="105" t="s">
        <v>8</v>
      </c>
      <c r="G28" s="105"/>
      <c r="H28" s="105"/>
      <c r="I28" s="106" t="s">
        <v>9</v>
      </c>
      <c r="J28" s="105"/>
      <c r="K28" s="105"/>
      <c r="L28" s="105"/>
      <c r="M28" s="107" t="s">
        <v>47</v>
      </c>
      <c r="N28" s="17"/>
    </row>
    <row r="29" spans="1:14">
      <c r="A29" s="15" t="s">
        <v>10</v>
      </c>
      <c r="B29" s="103"/>
      <c r="C29" s="108">
        <v>8.5</v>
      </c>
      <c r="D29" s="103">
        <v>8</v>
      </c>
      <c r="E29" s="103">
        <v>6</v>
      </c>
      <c r="F29" s="103">
        <v>122</v>
      </c>
      <c r="G29" s="103"/>
      <c r="H29" s="103"/>
      <c r="I29" s="103">
        <v>28</v>
      </c>
      <c r="J29" s="105"/>
      <c r="K29" s="105"/>
      <c r="L29" s="105"/>
      <c r="M29" s="109">
        <v>4</v>
      </c>
      <c r="N29" s="18">
        <f>SUM(B29:M29)</f>
        <v>176.5</v>
      </c>
    </row>
    <row r="30" spans="1:14" ht="12" thickBot="1">
      <c r="A30" s="19" t="s">
        <v>11</v>
      </c>
      <c r="B30" s="20"/>
      <c r="C30" s="20">
        <v>213.94</v>
      </c>
      <c r="D30" s="20">
        <v>201.5</v>
      </c>
      <c r="E30" s="20">
        <v>202.44</v>
      </c>
      <c r="F30" s="20">
        <v>4282.5</v>
      </c>
      <c r="G30" s="20"/>
      <c r="H30" s="20"/>
      <c r="I30" s="20">
        <v>788.76</v>
      </c>
      <c r="J30" s="21"/>
      <c r="K30" s="21"/>
      <c r="L30" s="21"/>
      <c r="M30" s="22">
        <v>112.68</v>
      </c>
      <c r="N30" s="23">
        <f>SUM(B30:M30)</f>
        <v>5801.8200000000006</v>
      </c>
    </row>
    <row r="31" spans="1:14">
      <c r="A31" s="11" t="s">
        <v>12</v>
      </c>
      <c r="B31" s="25">
        <v>0</v>
      </c>
      <c r="C31" s="25">
        <v>0</v>
      </c>
      <c r="D31" s="25">
        <v>2</v>
      </c>
      <c r="E31" s="25">
        <v>0</v>
      </c>
      <c r="F31" s="25">
        <v>1</v>
      </c>
      <c r="G31" s="25">
        <v>2</v>
      </c>
      <c r="H31" s="25">
        <v>1</v>
      </c>
      <c r="I31" s="25">
        <v>1</v>
      </c>
      <c r="J31" s="25">
        <v>1</v>
      </c>
      <c r="K31" s="25">
        <v>3</v>
      </c>
      <c r="L31" s="25">
        <v>1</v>
      </c>
      <c r="M31" s="26">
        <v>0</v>
      </c>
      <c r="N31" s="27">
        <f>SUM(B31:M31)</f>
        <v>12</v>
      </c>
    </row>
    <row r="32" spans="1:14">
      <c r="A32" s="15" t="s">
        <v>5</v>
      </c>
      <c r="B32" s="106"/>
      <c r="C32" s="106"/>
      <c r="D32" s="106" t="s">
        <v>13</v>
      </c>
      <c r="E32" s="106"/>
      <c r="F32" s="106" t="s">
        <v>6</v>
      </c>
      <c r="G32" s="106" t="s">
        <v>14</v>
      </c>
      <c r="H32" s="106" t="s">
        <v>9</v>
      </c>
      <c r="I32" s="110" t="s">
        <v>15</v>
      </c>
      <c r="J32" s="105" t="s">
        <v>47</v>
      </c>
      <c r="K32" s="106" t="s">
        <v>48</v>
      </c>
      <c r="L32" s="105" t="s">
        <v>47</v>
      </c>
      <c r="M32" s="107"/>
      <c r="N32" s="17"/>
    </row>
    <row r="33" spans="1:16">
      <c r="A33" s="15" t="s">
        <v>10</v>
      </c>
      <c r="B33" s="103"/>
      <c r="C33" s="103"/>
      <c r="D33" s="103">
        <v>19</v>
      </c>
      <c r="E33" s="103"/>
      <c r="F33" s="108">
        <v>3.2</v>
      </c>
      <c r="G33" s="103">
        <v>109</v>
      </c>
      <c r="H33" s="28">
        <v>20.85</v>
      </c>
      <c r="I33" s="111">
        <v>124.87</v>
      </c>
      <c r="J33" s="111">
        <v>22.29</v>
      </c>
      <c r="K33" s="111">
        <v>68.25</v>
      </c>
      <c r="L33" s="103">
        <v>3.13</v>
      </c>
      <c r="M33" s="109"/>
      <c r="N33" s="29">
        <f>SUM(B33:M33)</f>
        <v>370.59</v>
      </c>
    </row>
    <row r="34" spans="1:16" ht="12" thickBot="1">
      <c r="A34" s="19" t="s">
        <v>11</v>
      </c>
      <c r="B34" s="30"/>
      <c r="C34" s="30"/>
      <c r="D34" s="20">
        <v>792.77</v>
      </c>
      <c r="E34" s="30"/>
      <c r="F34" s="31">
        <v>88.21</v>
      </c>
      <c r="G34" s="30">
        <v>3013</v>
      </c>
      <c r="H34" s="20">
        <v>547.1</v>
      </c>
      <c r="I34" s="20">
        <v>3283.41</v>
      </c>
      <c r="J34" s="20">
        <v>616.09</v>
      </c>
      <c r="K34" s="20">
        <v>2241.98</v>
      </c>
      <c r="L34" s="30">
        <v>86.52</v>
      </c>
      <c r="M34" s="22"/>
      <c r="N34" s="32">
        <f>SUM(B34:M34)</f>
        <v>10669.08</v>
      </c>
    </row>
    <row r="35" spans="1:16" ht="12" thickBot="1">
      <c r="A35" s="24"/>
      <c r="B35" s="112"/>
      <c r="C35" s="112"/>
      <c r="D35" s="113"/>
      <c r="E35" s="112"/>
      <c r="F35" s="114"/>
      <c r="G35" s="112"/>
      <c r="H35" s="113"/>
      <c r="I35" s="113"/>
      <c r="J35" s="113"/>
      <c r="K35" s="113"/>
      <c r="L35" s="112"/>
      <c r="M35" s="115"/>
      <c r="N35" s="33"/>
    </row>
    <row r="36" spans="1:16">
      <c r="A36" s="11" t="s">
        <v>59</v>
      </c>
      <c r="B36" s="25">
        <v>0</v>
      </c>
      <c r="C36" s="25">
        <v>1</v>
      </c>
      <c r="D36" s="25">
        <v>2</v>
      </c>
      <c r="E36" s="25">
        <v>2</v>
      </c>
      <c r="F36" s="25">
        <v>0</v>
      </c>
      <c r="G36" s="25">
        <v>0</v>
      </c>
      <c r="H36" s="25">
        <v>1</v>
      </c>
      <c r="I36" s="25">
        <v>0</v>
      </c>
      <c r="J36" s="25">
        <v>1</v>
      </c>
      <c r="K36" s="25">
        <v>1</v>
      </c>
      <c r="L36" s="25">
        <v>0</v>
      </c>
      <c r="M36" s="26">
        <v>1</v>
      </c>
      <c r="N36" s="27">
        <f>SUM(B36:M36)</f>
        <v>9</v>
      </c>
    </row>
    <row r="37" spans="1:16">
      <c r="A37" s="15" t="s">
        <v>5</v>
      </c>
      <c r="B37" s="106"/>
      <c r="C37" s="105" t="s">
        <v>47</v>
      </c>
      <c r="D37" s="106" t="s">
        <v>51</v>
      </c>
      <c r="E37" s="106" t="s">
        <v>13</v>
      </c>
      <c r="F37" s="106"/>
      <c r="G37" s="106"/>
      <c r="H37" s="106" t="s">
        <v>52</v>
      </c>
      <c r="I37" s="110"/>
      <c r="J37" s="105" t="s">
        <v>53</v>
      </c>
      <c r="K37" s="106" t="s">
        <v>54</v>
      </c>
      <c r="L37" s="105"/>
      <c r="M37" s="107" t="s">
        <v>9</v>
      </c>
      <c r="N37" s="29"/>
    </row>
    <row r="38" spans="1:16">
      <c r="A38" s="15" t="s">
        <v>10</v>
      </c>
      <c r="B38" s="103"/>
      <c r="C38" s="108">
        <v>1.5</v>
      </c>
      <c r="D38" s="111">
        <v>73.849999999999994</v>
      </c>
      <c r="E38" s="111">
        <v>14.37</v>
      </c>
      <c r="F38" s="108"/>
      <c r="G38" s="103"/>
      <c r="H38" s="28">
        <v>8.5</v>
      </c>
      <c r="I38" s="111"/>
      <c r="J38" s="111">
        <v>40</v>
      </c>
      <c r="K38" s="111">
        <v>25</v>
      </c>
      <c r="L38" s="103"/>
      <c r="M38" s="109">
        <v>120</v>
      </c>
      <c r="N38" s="29">
        <f>SUM(B38:M38)</f>
        <v>283.22000000000003</v>
      </c>
    </row>
    <row r="39" spans="1:16" ht="12" thickBot="1">
      <c r="A39" s="19" t="s">
        <v>11</v>
      </c>
      <c r="B39" s="30"/>
      <c r="C39" s="34">
        <v>44.75</v>
      </c>
      <c r="D39" s="20">
        <v>2375.5100000000002</v>
      </c>
      <c r="E39" s="20">
        <v>428.66</v>
      </c>
      <c r="F39" s="31"/>
      <c r="G39" s="30"/>
      <c r="H39" s="20">
        <v>267.58</v>
      </c>
      <c r="I39" s="20"/>
      <c r="J39" s="20">
        <v>4455.6000000000004</v>
      </c>
      <c r="K39" s="20">
        <v>745.75</v>
      </c>
      <c r="L39" s="30"/>
      <c r="M39" s="22">
        <v>3631.2</v>
      </c>
      <c r="N39" s="32">
        <f>SUM(B39:M39)</f>
        <v>11949.05</v>
      </c>
    </row>
    <row r="40" spans="1:16">
      <c r="A40" s="11" t="s">
        <v>55</v>
      </c>
      <c r="B40" s="25">
        <v>0</v>
      </c>
      <c r="C40" s="25">
        <v>0</v>
      </c>
      <c r="D40" s="25">
        <v>1</v>
      </c>
      <c r="E40" s="25">
        <v>0</v>
      </c>
      <c r="F40" s="25">
        <v>1</v>
      </c>
      <c r="G40" s="25"/>
      <c r="H40" s="25">
        <v>1</v>
      </c>
      <c r="I40" s="25">
        <v>0</v>
      </c>
      <c r="J40" s="25">
        <v>1</v>
      </c>
      <c r="K40" s="25">
        <v>0</v>
      </c>
      <c r="L40" s="25">
        <v>1</v>
      </c>
      <c r="M40" s="26">
        <v>0</v>
      </c>
      <c r="N40" s="27">
        <f>SUM(B40:M40)</f>
        <v>5</v>
      </c>
    </row>
    <row r="41" spans="1:16">
      <c r="A41" s="15" t="s">
        <v>5</v>
      </c>
      <c r="B41" s="106"/>
      <c r="C41" s="105"/>
      <c r="D41" s="105" t="s">
        <v>47</v>
      </c>
      <c r="E41" s="106"/>
      <c r="F41" s="106" t="s">
        <v>56</v>
      </c>
      <c r="G41" s="106"/>
      <c r="H41" s="106" t="s">
        <v>52</v>
      </c>
      <c r="I41" s="110"/>
      <c r="J41" s="105" t="s">
        <v>47</v>
      </c>
      <c r="K41" s="106"/>
      <c r="L41" s="105" t="s">
        <v>57</v>
      </c>
      <c r="M41" s="107"/>
      <c r="N41" s="29"/>
    </row>
    <row r="42" spans="1:16">
      <c r="A42" s="15" t="s">
        <v>10</v>
      </c>
      <c r="B42" s="103"/>
      <c r="C42" s="108"/>
      <c r="D42" s="111">
        <v>4.4000000000000004</v>
      </c>
      <c r="E42" s="111"/>
      <c r="F42" s="108">
        <v>6</v>
      </c>
      <c r="G42" s="103"/>
      <c r="H42" s="28">
        <v>4</v>
      </c>
      <c r="I42" s="111"/>
      <c r="J42" s="111">
        <v>17.079999999999998</v>
      </c>
      <c r="K42" s="111"/>
      <c r="L42" s="103">
        <v>20</v>
      </c>
      <c r="M42" s="109"/>
      <c r="N42" s="29">
        <f>SUM(B42:M42)</f>
        <v>51.48</v>
      </c>
      <c r="P42" s="46" t="s">
        <v>40</v>
      </c>
    </row>
    <row r="43" spans="1:16" ht="12" thickBot="1">
      <c r="A43" s="19" t="s">
        <v>11</v>
      </c>
      <c r="B43" s="30"/>
      <c r="C43" s="34"/>
      <c r="D43" s="20">
        <v>141.63999999999999</v>
      </c>
      <c r="E43" s="20"/>
      <c r="F43" s="31">
        <v>193.14</v>
      </c>
      <c r="G43" s="30"/>
      <c r="H43" s="20">
        <v>128.76</v>
      </c>
      <c r="I43" s="20"/>
      <c r="J43" s="20">
        <v>549.80999999999995</v>
      </c>
      <c r="K43" s="20"/>
      <c r="L43" s="30">
        <v>712.4</v>
      </c>
      <c r="M43" s="22"/>
      <c r="N43" s="32">
        <f>SUM(B43:M43)</f>
        <v>1725.75</v>
      </c>
    </row>
    <row r="44" spans="1:16">
      <c r="A44" s="11" t="s">
        <v>60</v>
      </c>
      <c r="B44" s="25">
        <v>0</v>
      </c>
      <c r="C44" s="25">
        <v>1</v>
      </c>
      <c r="D44" s="25">
        <v>1</v>
      </c>
      <c r="E44" s="25">
        <v>0</v>
      </c>
      <c r="F44" s="25">
        <v>1</v>
      </c>
      <c r="G44" s="25">
        <v>0</v>
      </c>
      <c r="H44" s="25">
        <v>0</v>
      </c>
      <c r="I44" s="25">
        <v>2</v>
      </c>
      <c r="J44" s="25">
        <v>0</v>
      </c>
      <c r="K44" s="25">
        <v>0</v>
      </c>
      <c r="L44" s="25">
        <v>1</v>
      </c>
      <c r="M44" s="26">
        <v>1</v>
      </c>
      <c r="N44" s="27">
        <f>SUM(B44:M44)</f>
        <v>7</v>
      </c>
    </row>
    <row r="45" spans="1:16">
      <c r="A45" s="15" t="s">
        <v>5</v>
      </c>
      <c r="B45" s="106"/>
      <c r="C45" s="105" t="s">
        <v>54</v>
      </c>
      <c r="D45" s="105" t="s">
        <v>9</v>
      </c>
      <c r="E45" s="106"/>
      <c r="F45" s="106" t="s">
        <v>61</v>
      </c>
      <c r="G45" s="106"/>
      <c r="H45" s="106"/>
      <c r="I45" s="110" t="s">
        <v>63</v>
      </c>
      <c r="J45" s="105"/>
      <c r="K45" s="106"/>
      <c r="L45" s="106" t="s">
        <v>52</v>
      </c>
      <c r="M45" s="107" t="s">
        <v>6</v>
      </c>
      <c r="N45" s="29"/>
    </row>
    <row r="46" spans="1:16">
      <c r="A46" s="15" t="s">
        <v>10</v>
      </c>
      <c r="B46" s="103"/>
      <c r="C46" s="111">
        <v>3.75</v>
      </c>
      <c r="D46" s="111">
        <v>5.74</v>
      </c>
      <c r="E46" s="111"/>
      <c r="F46" s="108">
        <v>10</v>
      </c>
      <c r="G46" s="103"/>
      <c r="H46" s="28"/>
      <c r="I46" s="111">
        <v>15.06</v>
      </c>
      <c r="J46" s="111"/>
      <c r="K46" s="111"/>
      <c r="L46" s="108">
        <v>7.5</v>
      </c>
      <c r="M46" s="109">
        <v>4</v>
      </c>
      <c r="N46" s="29">
        <f>SUM(B46:M46)</f>
        <v>46.050000000000004</v>
      </c>
      <c r="P46" s="46" t="s">
        <v>40</v>
      </c>
    </row>
    <row r="47" spans="1:16" ht="12" thickBot="1">
      <c r="A47" s="19" t="s">
        <v>11</v>
      </c>
      <c r="B47" s="30"/>
      <c r="C47" s="20">
        <v>139.99</v>
      </c>
      <c r="D47" s="20">
        <v>203.25</v>
      </c>
      <c r="E47" s="20"/>
      <c r="F47" s="31">
        <v>339.4</v>
      </c>
      <c r="G47" s="30"/>
      <c r="H47" s="20"/>
      <c r="I47" s="20">
        <v>533.27</v>
      </c>
      <c r="J47" s="20"/>
      <c r="K47" s="20"/>
      <c r="L47" s="20">
        <v>265.58</v>
      </c>
      <c r="M47" s="35">
        <v>587.20000000000005</v>
      </c>
      <c r="N47" s="32">
        <f>SUM(B47:M47)</f>
        <v>2068.6899999999996</v>
      </c>
    </row>
    <row r="48" spans="1:16">
      <c r="A48" s="11" t="s">
        <v>67</v>
      </c>
      <c r="B48" s="25">
        <v>0</v>
      </c>
      <c r="C48" s="25">
        <v>0</v>
      </c>
      <c r="D48" s="25">
        <v>1</v>
      </c>
      <c r="E48" s="25">
        <v>1</v>
      </c>
      <c r="F48" s="25">
        <v>0</v>
      </c>
      <c r="G48" s="25">
        <v>0</v>
      </c>
      <c r="H48" s="25">
        <v>2</v>
      </c>
      <c r="I48" s="25">
        <v>1</v>
      </c>
      <c r="J48" s="25">
        <v>0</v>
      </c>
      <c r="K48" s="25">
        <v>0</v>
      </c>
      <c r="L48" s="25">
        <v>2</v>
      </c>
      <c r="M48" s="26">
        <v>0</v>
      </c>
      <c r="N48" s="27">
        <f>SUM(B48:M48)</f>
        <v>7</v>
      </c>
    </row>
    <row r="49" spans="1:16">
      <c r="A49" s="15" t="s">
        <v>5</v>
      </c>
      <c r="B49" s="106"/>
      <c r="C49" s="105"/>
      <c r="D49" s="105" t="s">
        <v>6</v>
      </c>
      <c r="E49" s="106" t="s">
        <v>54</v>
      </c>
      <c r="F49" s="106"/>
      <c r="G49" s="106"/>
      <c r="H49" s="106" t="s">
        <v>14</v>
      </c>
      <c r="I49" s="106" t="s">
        <v>52</v>
      </c>
      <c r="J49" s="105"/>
      <c r="K49" s="106"/>
      <c r="L49" s="106" t="s">
        <v>66</v>
      </c>
      <c r="M49" s="107"/>
      <c r="N49" s="29"/>
    </row>
    <row r="50" spans="1:16">
      <c r="A50" s="15" t="s">
        <v>10</v>
      </c>
      <c r="B50" s="103"/>
      <c r="C50" s="111"/>
      <c r="D50" s="111">
        <v>7.43</v>
      </c>
      <c r="E50" s="111">
        <v>79</v>
      </c>
      <c r="F50" s="108"/>
      <c r="G50" s="103"/>
      <c r="H50" s="28">
        <v>108.94</v>
      </c>
      <c r="I50" s="111">
        <v>76</v>
      </c>
      <c r="J50" s="111"/>
      <c r="K50" s="111"/>
      <c r="L50" s="108">
        <v>27.03</v>
      </c>
      <c r="M50" s="109"/>
      <c r="N50" s="29">
        <f>SUM(B50:M50)</f>
        <v>298.39999999999998</v>
      </c>
      <c r="P50" s="46" t="s">
        <v>40</v>
      </c>
    </row>
    <row r="51" spans="1:16" ht="12" thickBot="1">
      <c r="A51" s="19" t="s">
        <v>11</v>
      </c>
      <c r="B51" s="30"/>
      <c r="C51" s="20"/>
      <c r="D51" s="20">
        <v>289.39</v>
      </c>
      <c r="E51" s="20">
        <v>3078.63</v>
      </c>
      <c r="F51" s="31"/>
      <c r="G51" s="30"/>
      <c r="H51" s="20">
        <v>4625.59</v>
      </c>
      <c r="I51" s="20">
        <v>2960.2</v>
      </c>
      <c r="J51" s="20"/>
      <c r="K51" s="20"/>
      <c r="L51" s="20">
        <v>1104.98</v>
      </c>
      <c r="M51" s="35"/>
      <c r="N51" s="32">
        <f>SUM(B51:M51)</f>
        <v>12058.79</v>
      </c>
    </row>
    <row r="52" spans="1:16">
      <c r="A52" s="11" t="s">
        <v>68</v>
      </c>
      <c r="B52" s="25">
        <v>0</v>
      </c>
      <c r="C52" s="25">
        <v>0</v>
      </c>
      <c r="D52" s="25">
        <v>0</v>
      </c>
      <c r="E52" s="25">
        <v>0</v>
      </c>
      <c r="F52" s="25">
        <v>0</v>
      </c>
      <c r="G52" s="25">
        <v>0</v>
      </c>
      <c r="H52" s="25">
        <v>1</v>
      </c>
      <c r="I52" s="25">
        <v>0</v>
      </c>
      <c r="J52" s="25">
        <v>0</v>
      </c>
      <c r="K52" s="25">
        <v>0</v>
      </c>
      <c r="L52" s="25">
        <v>1</v>
      </c>
      <c r="M52" s="26">
        <v>1</v>
      </c>
      <c r="N52" s="27">
        <f>SUM(B52:M52)</f>
        <v>3</v>
      </c>
    </row>
    <row r="53" spans="1:16">
      <c r="A53" s="15" t="s">
        <v>5</v>
      </c>
      <c r="B53" s="106"/>
      <c r="C53" s="105"/>
      <c r="D53" s="105"/>
      <c r="E53" s="106"/>
      <c r="F53" s="106"/>
      <c r="G53" s="106"/>
      <c r="H53" s="105" t="s">
        <v>47</v>
      </c>
      <c r="I53" s="106"/>
      <c r="J53" s="105"/>
      <c r="K53" s="106"/>
      <c r="L53" s="105" t="s">
        <v>47</v>
      </c>
      <c r="M53" s="106" t="s">
        <v>52</v>
      </c>
      <c r="N53" s="29"/>
    </row>
    <row r="54" spans="1:16">
      <c r="A54" s="15" t="s">
        <v>10</v>
      </c>
      <c r="B54" s="103"/>
      <c r="C54" s="111"/>
      <c r="D54" s="111"/>
      <c r="E54" s="111"/>
      <c r="F54" s="108"/>
      <c r="G54" s="103"/>
      <c r="H54" s="28">
        <v>8.24</v>
      </c>
      <c r="I54" s="111"/>
      <c r="J54" s="111"/>
      <c r="K54" s="111"/>
      <c r="L54" s="111">
        <v>28.61</v>
      </c>
      <c r="M54" s="109">
        <v>8.01</v>
      </c>
      <c r="N54" s="29">
        <v>44.86</v>
      </c>
      <c r="P54" s="46" t="s">
        <v>40</v>
      </c>
    </row>
    <row r="55" spans="1:16" ht="12" thickBot="1">
      <c r="A55" s="19" t="s">
        <v>11</v>
      </c>
      <c r="B55" s="30"/>
      <c r="C55" s="20"/>
      <c r="D55" s="20"/>
      <c r="E55" s="20"/>
      <c r="F55" s="31"/>
      <c r="G55" s="30"/>
      <c r="H55" s="20">
        <v>349.87</v>
      </c>
      <c r="I55" s="20"/>
      <c r="J55" s="20"/>
      <c r="K55" s="20"/>
      <c r="L55" s="20">
        <v>1215.3499999999999</v>
      </c>
      <c r="M55" s="35">
        <v>988.25</v>
      </c>
      <c r="N55" s="32">
        <v>2553.4699999999998</v>
      </c>
    </row>
    <row r="56" spans="1:16">
      <c r="A56" s="11" t="s">
        <v>69</v>
      </c>
      <c r="B56" s="25">
        <v>0</v>
      </c>
      <c r="C56" s="25">
        <v>1</v>
      </c>
      <c r="D56" s="25">
        <v>0</v>
      </c>
      <c r="E56" s="25">
        <v>1</v>
      </c>
      <c r="F56" s="25">
        <v>0</v>
      </c>
      <c r="G56" s="25">
        <v>0</v>
      </c>
      <c r="H56" s="25">
        <v>1</v>
      </c>
      <c r="I56" s="25">
        <v>0</v>
      </c>
      <c r="J56" s="25">
        <v>0</v>
      </c>
      <c r="K56" s="25">
        <v>0</v>
      </c>
      <c r="L56" s="25">
        <v>0</v>
      </c>
      <c r="M56" s="26">
        <v>1</v>
      </c>
      <c r="N56" s="27">
        <f>SUM(B56:M56)</f>
        <v>4</v>
      </c>
    </row>
    <row r="57" spans="1:16">
      <c r="A57" s="15" t="s">
        <v>5</v>
      </c>
      <c r="B57" s="106" t="s">
        <v>52</v>
      </c>
      <c r="C57" s="105" t="s">
        <v>54</v>
      </c>
      <c r="D57" s="105"/>
      <c r="E57" s="106" t="s">
        <v>6</v>
      </c>
      <c r="F57" s="106"/>
      <c r="G57" s="106"/>
      <c r="H57" s="106" t="s">
        <v>8</v>
      </c>
      <c r="I57" s="106"/>
      <c r="J57" s="105"/>
      <c r="K57" s="106"/>
      <c r="L57" s="106"/>
      <c r="M57" s="107" t="s">
        <v>6</v>
      </c>
      <c r="N57" s="29"/>
    </row>
    <row r="58" spans="1:16">
      <c r="A58" s="15" t="s">
        <v>10</v>
      </c>
      <c r="B58" s="108">
        <v>5.9</v>
      </c>
      <c r="C58" s="111">
        <v>15.25</v>
      </c>
      <c r="D58" s="111"/>
      <c r="E58" s="111">
        <v>3.05</v>
      </c>
      <c r="F58" s="108"/>
      <c r="G58" s="103"/>
      <c r="H58" s="108">
        <v>23.25</v>
      </c>
      <c r="I58" s="111"/>
      <c r="J58" s="111"/>
      <c r="K58" s="111"/>
      <c r="L58" s="111"/>
      <c r="M58" s="109">
        <v>14.94</v>
      </c>
      <c r="N58" s="29">
        <f>SUM(B58:M58)</f>
        <v>62.39</v>
      </c>
      <c r="P58" s="46" t="s">
        <v>40</v>
      </c>
    </row>
    <row r="59" spans="1:16" ht="12" thickBot="1">
      <c r="A59" s="19" t="s">
        <v>11</v>
      </c>
      <c r="B59" s="30">
        <v>985.3</v>
      </c>
      <c r="C59" s="20">
        <v>647.52</v>
      </c>
      <c r="D59" s="20"/>
      <c r="E59" s="20">
        <v>509.35</v>
      </c>
      <c r="F59" s="31"/>
      <c r="G59" s="30"/>
      <c r="H59" s="31">
        <v>1056.25</v>
      </c>
      <c r="I59" s="20"/>
      <c r="J59" s="20"/>
      <c r="K59" s="20"/>
      <c r="L59" s="20"/>
      <c r="M59" s="35">
        <v>678.72</v>
      </c>
      <c r="N59" s="32">
        <f>SUM(B59:M59)</f>
        <v>3877.1400000000003</v>
      </c>
    </row>
    <row r="60" spans="1:16">
      <c r="A60" s="11" t="s">
        <v>73</v>
      </c>
      <c r="B60" s="25">
        <v>1</v>
      </c>
      <c r="C60" s="25">
        <v>0</v>
      </c>
      <c r="D60" s="25">
        <v>0</v>
      </c>
      <c r="E60" s="25">
        <v>2</v>
      </c>
      <c r="F60" s="25">
        <v>1</v>
      </c>
      <c r="G60" s="25">
        <v>0</v>
      </c>
      <c r="H60" s="25">
        <v>0</v>
      </c>
      <c r="I60" s="25">
        <v>0</v>
      </c>
      <c r="J60" s="25">
        <v>0</v>
      </c>
      <c r="K60" s="25">
        <v>1</v>
      </c>
      <c r="L60" s="25">
        <v>1</v>
      </c>
      <c r="M60" s="26">
        <v>1</v>
      </c>
      <c r="N60" s="27">
        <f>SUM(B60:M60)</f>
        <v>7</v>
      </c>
    </row>
    <row r="61" spans="1:16">
      <c r="A61" s="15" t="s">
        <v>5</v>
      </c>
      <c r="B61" s="106" t="s">
        <v>9</v>
      </c>
      <c r="C61" s="105"/>
      <c r="D61" s="105"/>
      <c r="E61" s="106" t="s">
        <v>74</v>
      </c>
      <c r="F61" s="106" t="s">
        <v>75</v>
      </c>
      <c r="G61" s="106"/>
      <c r="H61" s="106"/>
      <c r="I61" s="106"/>
      <c r="J61" s="105"/>
      <c r="K61" s="106" t="s">
        <v>77</v>
      </c>
      <c r="L61" s="106" t="s">
        <v>78</v>
      </c>
      <c r="M61" s="107" t="s">
        <v>75</v>
      </c>
      <c r="N61" s="29"/>
    </row>
    <row r="62" spans="1:16">
      <c r="A62" s="15" t="s">
        <v>10</v>
      </c>
      <c r="B62" s="111">
        <v>23.09</v>
      </c>
      <c r="C62" s="111"/>
      <c r="D62" s="111"/>
      <c r="E62" s="111">
        <v>44.87</v>
      </c>
      <c r="F62" s="108">
        <v>11.4</v>
      </c>
      <c r="G62" s="103"/>
      <c r="H62" s="108"/>
      <c r="I62" s="111"/>
      <c r="J62" s="111"/>
      <c r="K62" s="111">
        <v>4.8600000000000003</v>
      </c>
      <c r="L62" s="111">
        <v>37.93</v>
      </c>
      <c r="M62" s="109">
        <v>20.100000000000001</v>
      </c>
      <c r="N62" s="29">
        <f>SUM(B62:M62)</f>
        <v>142.25</v>
      </c>
    </row>
    <row r="63" spans="1:16" ht="12" thickBot="1">
      <c r="A63" s="19" t="s">
        <v>11</v>
      </c>
      <c r="B63" s="34">
        <v>1006.49</v>
      </c>
      <c r="C63" s="20"/>
      <c r="D63" s="20"/>
      <c r="E63" s="20">
        <v>2620.5700000000002</v>
      </c>
      <c r="F63" s="31">
        <v>552.9</v>
      </c>
      <c r="G63" s="30"/>
      <c r="H63" s="31"/>
      <c r="I63" s="20"/>
      <c r="J63" s="20"/>
      <c r="K63" s="20">
        <v>246.89</v>
      </c>
      <c r="L63" s="20">
        <v>1871.32</v>
      </c>
      <c r="M63" s="35">
        <v>974.85</v>
      </c>
      <c r="N63" s="32">
        <f>SUM(B63:M63)</f>
        <v>7273.02</v>
      </c>
    </row>
    <row r="64" spans="1:16">
      <c r="A64" s="11" t="s">
        <v>80</v>
      </c>
      <c r="B64" s="25">
        <v>0</v>
      </c>
      <c r="C64" s="25">
        <v>0</v>
      </c>
      <c r="D64" s="25">
        <v>0</v>
      </c>
      <c r="E64" s="25">
        <v>1</v>
      </c>
      <c r="F64" s="25">
        <v>0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5">
        <v>0</v>
      </c>
      <c r="M64" s="26">
        <v>0</v>
      </c>
      <c r="N64" s="27">
        <f>SUM(B64:M64)</f>
        <v>1</v>
      </c>
    </row>
    <row r="65" spans="1:14">
      <c r="A65" s="15" t="s">
        <v>5</v>
      </c>
      <c r="B65" s="106"/>
      <c r="C65" s="105"/>
      <c r="D65" s="105"/>
      <c r="E65" s="107" t="s">
        <v>6</v>
      </c>
      <c r="F65" s="106"/>
      <c r="G65" s="106"/>
      <c r="H65" s="106"/>
      <c r="I65" s="106"/>
      <c r="J65" s="105"/>
      <c r="K65" s="106"/>
      <c r="L65" s="106"/>
      <c r="M65" s="107"/>
      <c r="N65" s="29"/>
    </row>
    <row r="66" spans="1:14">
      <c r="A66" s="15" t="s">
        <v>10</v>
      </c>
      <c r="B66" s="111"/>
      <c r="C66" s="111"/>
      <c r="D66" s="111"/>
      <c r="E66" s="111">
        <v>10.76</v>
      </c>
      <c r="F66" s="108"/>
      <c r="G66" s="103"/>
      <c r="H66" s="108"/>
      <c r="I66" s="111"/>
      <c r="J66" s="111"/>
      <c r="K66" s="111"/>
      <c r="L66" s="111"/>
      <c r="M66" s="109"/>
      <c r="N66" s="29">
        <f>SUM(B66:M66)</f>
        <v>10.76</v>
      </c>
    </row>
    <row r="67" spans="1:14" ht="12" thickBot="1">
      <c r="A67" s="19" t="s">
        <v>11</v>
      </c>
      <c r="B67" s="34"/>
      <c r="C67" s="20"/>
      <c r="D67" s="20"/>
      <c r="E67" s="20">
        <v>546.61</v>
      </c>
      <c r="F67" s="31"/>
      <c r="G67" s="30"/>
      <c r="H67" s="31"/>
      <c r="I67" s="20"/>
      <c r="J67" s="20"/>
      <c r="K67" s="20"/>
      <c r="L67" s="20"/>
      <c r="M67" s="35"/>
      <c r="N67" s="32">
        <f>SUM(B67:M67)</f>
        <v>546.61</v>
      </c>
    </row>
    <row r="68" spans="1:14">
      <c r="A68" s="11" t="s">
        <v>90</v>
      </c>
      <c r="B68" s="25">
        <v>0</v>
      </c>
      <c r="C68" s="25">
        <v>0</v>
      </c>
      <c r="D68" s="25">
        <v>0</v>
      </c>
      <c r="E68" s="25">
        <v>0</v>
      </c>
      <c r="F68" s="25">
        <v>0</v>
      </c>
      <c r="G68" s="25">
        <v>0</v>
      </c>
      <c r="H68" s="25">
        <v>0</v>
      </c>
      <c r="I68" s="25">
        <v>2</v>
      </c>
      <c r="J68" s="25">
        <v>1</v>
      </c>
      <c r="K68" s="25">
        <v>0</v>
      </c>
      <c r="L68" s="25">
        <v>0</v>
      </c>
      <c r="M68" s="26">
        <v>0</v>
      </c>
      <c r="N68" s="27">
        <f>SUM(B68:M68)</f>
        <v>3</v>
      </c>
    </row>
    <row r="69" spans="1:14">
      <c r="A69" s="15" t="s">
        <v>5</v>
      </c>
      <c r="B69" s="106"/>
      <c r="C69" s="105"/>
      <c r="D69" s="105"/>
      <c r="E69" s="107"/>
      <c r="F69" s="106"/>
      <c r="G69" s="106"/>
      <c r="H69" s="106"/>
      <c r="I69" s="106" t="s">
        <v>91</v>
      </c>
      <c r="J69" s="105" t="s">
        <v>57</v>
      </c>
      <c r="K69" s="106"/>
      <c r="L69" s="106"/>
      <c r="M69" s="107"/>
      <c r="N69" s="29"/>
    </row>
    <row r="70" spans="1:14">
      <c r="A70" s="15" t="s">
        <v>10</v>
      </c>
      <c r="B70" s="111"/>
      <c r="C70" s="111"/>
      <c r="D70" s="111"/>
      <c r="E70" s="111"/>
      <c r="F70" s="108"/>
      <c r="G70" s="103"/>
      <c r="H70" s="108"/>
      <c r="I70" s="111">
        <v>47</v>
      </c>
      <c r="J70" s="111">
        <v>16.13</v>
      </c>
      <c r="K70" s="111"/>
      <c r="L70" s="111"/>
      <c r="M70" s="109"/>
      <c r="N70" s="29">
        <f>SUM(B70:M70)</f>
        <v>63.129999999999995</v>
      </c>
    </row>
    <row r="71" spans="1:14" ht="12" thickBot="1">
      <c r="A71" s="19" t="s">
        <v>11</v>
      </c>
      <c r="B71" s="34"/>
      <c r="C71" s="20"/>
      <c r="D71" s="20"/>
      <c r="E71" s="20"/>
      <c r="F71" s="31"/>
      <c r="G71" s="30"/>
      <c r="H71" s="31"/>
      <c r="I71" s="20">
        <v>2423.3200000000002</v>
      </c>
      <c r="J71" s="20">
        <v>2378.46</v>
      </c>
      <c r="K71" s="20"/>
      <c r="L71" s="20"/>
      <c r="M71" s="35"/>
      <c r="N71" s="32">
        <f>SUM(B71:M71)</f>
        <v>4801.7800000000007</v>
      </c>
    </row>
    <row r="72" spans="1:14">
      <c r="A72" s="11" t="s">
        <v>93</v>
      </c>
      <c r="B72" s="25">
        <v>2</v>
      </c>
      <c r="C72" s="25">
        <v>0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1</v>
      </c>
      <c r="K72" s="25">
        <v>0</v>
      </c>
      <c r="L72" s="25">
        <v>0</v>
      </c>
      <c r="M72" s="26">
        <v>0</v>
      </c>
      <c r="N72" s="27">
        <f>SUM(B72:M72)</f>
        <v>3</v>
      </c>
    </row>
    <row r="73" spans="1:14">
      <c r="A73" s="15" t="s">
        <v>5</v>
      </c>
      <c r="B73" s="106" t="s">
        <v>94</v>
      </c>
      <c r="C73" s="105"/>
      <c r="D73" s="105"/>
      <c r="E73" s="107"/>
      <c r="F73" s="106"/>
      <c r="G73" s="106"/>
      <c r="H73" s="106"/>
      <c r="I73" s="106"/>
      <c r="J73" s="106" t="s">
        <v>6</v>
      </c>
      <c r="K73" s="106" t="s">
        <v>6</v>
      </c>
      <c r="L73" s="106" t="s">
        <v>6</v>
      </c>
      <c r="M73" s="106" t="s">
        <v>6</v>
      </c>
      <c r="N73" s="29"/>
    </row>
    <row r="74" spans="1:14">
      <c r="A74" s="15" t="s">
        <v>10</v>
      </c>
      <c r="B74" s="111">
        <v>44.85</v>
      </c>
      <c r="C74" s="111">
        <v>22.27</v>
      </c>
      <c r="D74" s="111"/>
      <c r="E74" s="111"/>
      <c r="F74" s="108"/>
      <c r="G74" s="103"/>
      <c r="H74" s="108"/>
      <c r="I74" s="111"/>
      <c r="J74" s="111">
        <v>61.6</v>
      </c>
      <c r="K74" s="111">
        <v>70.48</v>
      </c>
      <c r="L74" s="111">
        <v>52.7</v>
      </c>
      <c r="M74" s="109">
        <v>49.2</v>
      </c>
      <c r="N74" s="29">
        <f>SUM(B74:M74)</f>
        <v>301.09999999999997</v>
      </c>
    </row>
    <row r="75" spans="1:14" ht="12" thickBot="1">
      <c r="A75" s="19" t="s">
        <v>11</v>
      </c>
      <c r="B75" s="34">
        <v>2222.5700000000002</v>
      </c>
      <c r="C75" s="20">
        <v>1103.47</v>
      </c>
      <c r="D75" s="20"/>
      <c r="E75" s="20"/>
      <c r="F75" s="31"/>
      <c r="G75" s="30"/>
      <c r="H75" s="31"/>
      <c r="I75" s="20"/>
      <c r="J75" s="20">
        <v>3235.23</v>
      </c>
      <c r="K75" s="20">
        <v>4042.03</v>
      </c>
      <c r="L75" s="20">
        <v>3022.3449999999998</v>
      </c>
      <c r="M75" s="35">
        <v>2821.62</v>
      </c>
      <c r="N75" s="32">
        <f>SUM(B75:M75)</f>
        <v>16447.264999999999</v>
      </c>
    </row>
    <row r="76" spans="1:14">
      <c r="A76" s="11" t="s">
        <v>194</v>
      </c>
      <c r="B76" s="25">
        <v>0</v>
      </c>
      <c r="C76" s="25">
        <v>0</v>
      </c>
      <c r="D76" s="25">
        <v>1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5">
        <v>0</v>
      </c>
      <c r="M76" s="26">
        <v>0</v>
      </c>
      <c r="N76" s="27">
        <f>SUM(B76:M76)</f>
        <v>1</v>
      </c>
    </row>
    <row r="77" spans="1:14">
      <c r="A77" s="15" t="s">
        <v>5</v>
      </c>
      <c r="B77" s="106" t="s">
        <v>6</v>
      </c>
      <c r="C77" s="105"/>
      <c r="D77" s="106" t="s">
        <v>6</v>
      </c>
      <c r="E77" s="106" t="s">
        <v>6</v>
      </c>
      <c r="F77" s="106"/>
      <c r="G77" s="106"/>
      <c r="H77" s="106"/>
      <c r="I77" s="106"/>
      <c r="J77" s="106"/>
      <c r="K77" s="106"/>
      <c r="L77" s="106"/>
      <c r="M77" s="106"/>
      <c r="N77" s="29"/>
    </row>
    <row r="78" spans="1:14">
      <c r="A78" s="15" t="s">
        <v>10</v>
      </c>
      <c r="B78" s="111">
        <v>2.04</v>
      </c>
      <c r="C78" s="111"/>
      <c r="D78" s="111">
        <v>24.03</v>
      </c>
      <c r="E78" s="111">
        <v>3.02</v>
      </c>
      <c r="F78" s="108"/>
      <c r="G78" s="103"/>
      <c r="H78" s="108"/>
      <c r="I78" s="111"/>
      <c r="J78" s="111"/>
      <c r="K78" s="111"/>
      <c r="L78" s="111"/>
      <c r="M78" s="109"/>
      <c r="N78" s="29">
        <f>SUM(B78:M78)</f>
        <v>29.09</v>
      </c>
    </row>
    <row r="79" spans="1:14" ht="12" thickBot="1">
      <c r="A79" s="19" t="s">
        <v>11</v>
      </c>
      <c r="B79" s="34">
        <v>116.99</v>
      </c>
      <c r="C79" s="20"/>
      <c r="D79" s="20">
        <v>2745.19</v>
      </c>
      <c r="E79" s="20">
        <v>345</v>
      </c>
      <c r="F79" s="31"/>
      <c r="G79" s="30"/>
      <c r="H79" s="31"/>
      <c r="I79" s="20"/>
      <c r="J79" s="20"/>
      <c r="K79" s="20"/>
      <c r="L79" s="20"/>
      <c r="M79" s="35"/>
      <c r="N79" s="32">
        <f>SUM(B79:M79)</f>
        <v>3207.18</v>
      </c>
    </row>
    <row r="80" spans="1:14">
      <c r="A80" s="11" t="s">
        <v>226</v>
      </c>
      <c r="B80" s="25">
        <v>0</v>
      </c>
      <c r="C80" s="25">
        <v>0</v>
      </c>
      <c r="D80" s="25">
        <v>0</v>
      </c>
      <c r="E80" s="25">
        <v>0</v>
      </c>
      <c r="F80" s="25">
        <v>1</v>
      </c>
      <c r="G80" s="25">
        <v>0</v>
      </c>
      <c r="H80" s="25">
        <v>1</v>
      </c>
      <c r="I80" s="25">
        <v>1</v>
      </c>
      <c r="J80" s="25">
        <v>0</v>
      </c>
      <c r="K80" s="25">
        <v>3</v>
      </c>
      <c r="L80" s="25">
        <v>1</v>
      </c>
      <c r="M80" s="26">
        <v>0</v>
      </c>
      <c r="N80" s="27">
        <f>SUM(B80:M80)</f>
        <v>7</v>
      </c>
    </row>
    <row r="81" spans="1:14">
      <c r="A81" s="15" t="s">
        <v>5</v>
      </c>
      <c r="B81" s="106" t="s">
        <v>9</v>
      </c>
      <c r="C81" s="105"/>
      <c r="D81" s="106"/>
      <c r="E81" s="106"/>
      <c r="F81" s="121" t="s">
        <v>227</v>
      </c>
      <c r="G81" s="121"/>
      <c r="H81" s="121" t="s">
        <v>229</v>
      </c>
      <c r="I81" s="121" t="s">
        <v>231</v>
      </c>
      <c r="J81" s="121" t="s">
        <v>231</v>
      </c>
      <c r="K81" s="121" t="s">
        <v>233</v>
      </c>
      <c r="L81" s="121" t="s">
        <v>237</v>
      </c>
      <c r="M81" s="121"/>
      <c r="N81" s="29"/>
    </row>
    <row r="82" spans="1:14">
      <c r="A82" s="15" t="s">
        <v>10</v>
      </c>
      <c r="B82" s="111">
        <v>3</v>
      </c>
      <c r="C82" s="111"/>
      <c r="D82" s="111"/>
      <c r="E82" s="111"/>
      <c r="F82" s="123">
        <v>22.84</v>
      </c>
      <c r="G82" s="124"/>
      <c r="H82" s="125">
        <v>2</v>
      </c>
      <c r="I82" s="44">
        <v>200</v>
      </c>
      <c r="J82" s="122">
        <v>80</v>
      </c>
      <c r="K82" s="122">
        <v>128.72</v>
      </c>
      <c r="L82" s="122">
        <v>38.64</v>
      </c>
      <c r="M82" s="126"/>
      <c r="N82" s="29">
        <f>SUM(B82:M82)</f>
        <v>475.20000000000005</v>
      </c>
    </row>
    <row r="83" spans="1:14" ht="12" thickBot="1">
      <c r="A83" s="19" t="s">
        <v>11</v>
      </c>
      <c r="B83" s="34"/>
      <c r="C83" s="20"/>
      <c r="D83" s="20"/>
      <c r="E83" s="20"/>
      <c r="F83" s="78">
        <v>1417.58</v>
      </c>
      <c r="G83" s="30"/>
      <c r="H83" s="31">
        <v>123.04</v>
      </c>
      <c r="I83" s="20">
        <v>27000</v>
      </c>
      <c r="J83" s="20">
        <v>10800</v>
      </c>
      <c r="K83" s="20">
        <v>14424.51</v>
      </c>
      <c r="L83" s="20">
        <v>3125.42</v>
      </c>
      <c r="M83" s="35"/>
      <c r="N83" s="32">
        <f>SUM(B83:M83)</f>
        <v>56890.549999999996</v>
      </c>
    </row>
    <row r="84" spans="1:14">
      <c r="A84" s="42"/>
      <c r="B84" s="43"/>
      <c r="C84" s="63"/>
      <c r="D84" s="63"/>
      <c r="E84" s="63"/>
      <c r="F84" s="64"/>
      <c r="G84" s="65"/>
      <c r="H84" s="64"/>
      <c r="I84" s="63"/>
      <c r="J84" s="63"/>
      <c r="K84" s="63"/>
      <c r="L84" s="63"/>
      <c r="M84" s="44"/>
      <c r="N84" s="66"/>
    </row>
    <row r="85" spans="1:14">
      <c r="A85" s="1" t="s">
        <v>235</v>
      </c>
    </row>
    <row r="86" spans="1:14">
      <c r="A86" s="2" t="s">
        <v>238</v>
      </c>
    </row>
    <row r="87" spans="1:14">
      <c r="A87" s="1" t="s">
        <v>234</v>
      </c>
    </row>
  </sheetData>
  <phoneticPr fontId="0" type="noConversion"/>
  <pageMargins left="0.74803149606299213" right="0.74803149606299213" top="0" bottom="0" header="0.51181102362204722" footer="0.51181102362204722"/>
  <pageSetup paperSize="9" scale="90" orientation="landscape" r:id="rId1"/>
  <headerFooter alignWithMargins="0"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4D911-28B0-4CD3-82FA-3981AAAFD488}">
  <sheetPr codeName="Sheet13"/>
  <dimension ref="A1:B137"/>
  <sheetViews>
    <sheetView topLeftCell="A107" workbookViewId="0">
      <selection activeCell="I29" sqref="I29"/>
    </sheetView>
  </sheetViews>
  <sheetFormatPr defaultRowHeight="12.75"/>
  <cols>
    <col min="1" max="1" width="32.42578125" bestFit="1" customWidth="1"/>
  </cols>
  <sheetData>
    <row r="1" spans="1:2">
      <c r="A1" s="129" t="s">
        <v>307</v>
      </c>
      <c r="B1" s="129" t="s">
        <v>306</v>
      </c>
    </row>
    <row r="2" spans="1:2">
      <c r="A2" s="117" t="s">
        <v>95</v>
      </c>
      <c r="B2" s="118">
        <v>148.94999999999999</v>
      </c>
    </row>
    <row r="3" spans="1:2">
      <c r="A3" s="117" t="s">
        <v>96</v>
      </c>
      <c r="B3" s="118">
        <v>223.33</v>
      </c>
    </row>
    <row r="4" spans="1:2">
      <c r="A4" s="117" t="s">
        <v>97</v>
      </c>
      <c r="B4" s="118"/>
    </row>
    <row r="5" spans="1:2">
      <c r="A5" s="117" t="s">
        <v>98</v>
      </c>
      <c r="B5" s="118"/>
    </row>
    <row r="6" spans="1:2">
      <c r="A6" s="117" t="s">
        <v>99</v>
      </c>
      <c r="B6" s="118">
        <v>55.04</v>
      </c>
    </row>
    <row r="7" spans="1:2">
      <c r="A7" s="117" t="s">
        <v>100</v>
      </c>
      <c r="B7" s="118">
        <v>40.74</v>
      </c>
    </row>
    <row r="8" spans="1:2">
      <c r="A8" s="117" t="s">
        <v>101</v>
      </c>
      <c r="B8" s="118">
        <v>58.68</v>
      </c>
    </row>
    <row r="9" spans="1:2">
      <c r="A9" s="117" t="s">
        <v>102</v>
      </c>
      <c r="B9" s="118">
        <v>70.08</v>
      </c>
    </row>
    <row r="10" spans="1:2">
      <c r="A10" s="117" t="s">
        <v>103</v>
      </c>
      <c r="B10" s="118">
        <v>78.3</v>
      </c>
    </row>
    <row r="11" spans="1:2">
      <c r="A11" s="117" t="s">
        <v>104</v>
      </c>
      <c r="B11" s="118">
        <v>79.3</v>
      </c>
    </row>
    <row r="12" spans="1:2">
      <c r="A12" s="117" t="s">
        <v>105</v>
      </c>
      <c r="B12" s="118">
        <v>84.52</v>
      </c>
    </row>
    <row r="13" spans="1:2">
      <c r="A13" s="117" t="s">
        <v>106</v>
      </c>
      <c r="B13" s="118">
        <v>86.22</v>
      </c>
    </row>
    <row r="14" spans="1:2">
      <c r="A14" s="117" t="s">
        <v>107</v>
      </c>
      <c r="B14" s="118">
        <v>37.1</v>
      </c>
    </row>
    <row r="15" spans="1:2">
      <c r="A15" s="117" t="s">
        <v>108</v>
      </c>
      <c r="B15" s="118">
        <v>43.55</v>
      </c>
    </row>
    <row r="16" spans="1:2">
      <c r="A16" s="117" t="s">
        <v>109</v>
      </c>
      <c r="B16" s="118">
        <v>53.01</v>
      </c>
    </row>
    <row r="17" spans="1:2">
      <c r="A17" s="117" t="s">
        <v>110</v>
      </c>
      <c r="B17" s="118">
        <v>68.47</v>
      </c>
    </row>
    <row r="18" spans="1:2">
      <c r="A18" s="117" t="s">
        <v>111</v>
      </c>
      <c r="B18" s="118">
        <v>70.67</v>
      </c>
    </row>
    <row r="19" spans="1:2">
      <c r="A19" s="117" t="s">
        <v>112</v>
      </c>
      <c r="B19" s="118">
        <v>77.819999999999993</v>
      </c>
    </row>
    <row r="20" spans="1:2">
      <c r="A20" s="117" t="s">
        <v>113</v>
      </c>
      <c r="B20" s="118">
        <v>86.46</v>
      </c>
    </row>
    <row r="21" spans="1:2">
      <c r="A21" s="117" t="s">
        <v>114</v>
      </c>
      <c r="B21" s="118">
        <v>88.62</v>
      </c>
    </row>
    <row r="22" spans="1:2">
      <c r="A22" s="117" t="s">
        <v>115</v>
      </c>
      <c r="B22" s="118">
        <v>9.67</v>
      </c>
    </row>
    <row r="23" spans="1:2">
      <c r="A23" s="117" t="s">
        <v>116</v>
      </c>
      <c r="B23" s="118">
        <v>96.36</v>
      </c>
    </row>
    <row r="24" spans="1:2">
      <c r="A24" s="117" t="s">
        <v>117</v>
      </c>
      <c r="B24" s="118">
        <v>108.27</v>
      </c>
    </row>
    <row r="25" spans="1:2">
      <c r="A25" s="117" t="s">
        <v>118</v>
      </c>
      <c r="B25" s="118">
        <v>118.37</v>
      </c>
    </row>
    <row r="26" spans="1:2">
      <c r="A26" s="117" t="s">
        <v>119</v>
      </c>
      <c r="B26" s="118">
        <v>94.98</v>
      </c>
    </row>
    <row r="27" spans="1:2">
      <c r="A27" s="117" t="s">
        <v>120</v>
      </c>
      <c r="B27" s="118">
        <v>103.25</v>
      </c>
    </row>
    <row r="28" spans="1:2">
      <c r="A28" s="117" t="s">
        <v>121</v>
      </c>
      <c r="B28" s="118">
        <v>0</v>
      </c>
    </row>
    <row r="29" spans="1:2">
      <c r="A29" s="117" t="s">
        <v>122</v>
      </c>
      <c r="B29" s="118">
        <v>129.29</v>
      </c>
    </row>
    <row r="30" spans="1:2">
      <c r="A30" s="117" t="s">
        <v>123</v>
      </c>
      <c r="B30" s="118">
        <v>79.959999999999994</v>
      </c>
    </row>
    <row r="31" spans="1:2">
      <c r="A31" s="117" t="s">
        <v>124</v>
      </c>
      <c r="B31" s="118">
        <v>89.57</v>
      </c>
    </row>
    <row r="32" spans="1:2">
      <c r="A32" s="117" t="s">
        <v>125</v>
      </c>
      <c r="B32" s="118">
        <v>87.06</v>
      </c>
    </row>
    <row r="33" spans="1:2">
      <c r="A33" s="117" t="s">
        <v>126</v>
      </c>
      <c r="B33" s="118">
        <v>96.98</v>
      </c>
    </row>
    <row r="34" spans="1:2">
      <c r="A34" s="117" t="s">
        <v>127</v>
      </c>
      <c r="B34" s="118">
        <v>55.7</v>
      </c>
    </row>
    <row r="35" spans="1:2">
      <c r="A35" s="117" t="s">
        <v>128</v>
      </c>
      <c r="B35" s="118">
        <v>96.73</v>
      </c>
    </row>
    <row r="36" spans="1:2">
      <c r="A36" s="117" t="s">
        <v>129</v>
      </c>
      <c r="B36" s="118">
        <v>193.31</v>
      </c>
    </row>
    <row r="37" spans="1:2">
      <c r="A37" s="117" t="s">
        <v>221</v>
      </c>
      <c r="B37" s="118">
        <v>232.24</v>
      </c>
    </row>
    <row r="38" spans="1:2">
      <c r="A38" s="117" t="s">
        <v>130</v>
      </c>
      <c r="B38" s="118">
        <v>319.14999999999998</v>
      </c>
    </row>
    <row r="39" spans="1:2">
      <c r="A39" s="117" t="s">
        <v>131</v>
      </c>
      <c r="B39" s="118">
        <v>69.73</v>
      </c>
    </row>
    <row r="40" spans="1:2">
      <c r="A40" s="117" t="s">
        <v>132</v>
      </c>
      <c r="B40" s="118">
        <v>96.65</v>
      </c>
    </row>
    <row r="41" spans="1:2">
      <c r="A41" s="117" t="s">
        <v>133</v>
      </c>
      <c r="B41" s="118">
        <v>123.34</v>
      </c>
    </row>
    <row r="42" spans="1:2">
      <c r="A42" s="117" t="s">
        <v>187</v>
      </c>
      <c r="B42" s="118">
        <v>135.46</v>
      </c>
    </row>
    <row r="43" spans="1:2">
      <c r="A43" s="119" t="s">
        <v>222</v>
      </c>
      <c r="B43" s="118">
        <v>0</v>
      </c>
    </row>
    <row r="44" spans="1:2">
      <c r="A44" s="117" t="s">
        <v>134</v>
      </c>
      <c r="B44" s="118">
        <v>326.13</v>
      </c>
    </row>
    <row r="45" spans="1:2">
      <c r="A45" s="117" t="s">
        <v>135</v>
      </c>
      <c r="B45" s="118">
        <v>417.11</v>
      </c>
    </row>
    <row r="46" spans="1:2">
      <c r="A46" s="117" t="s">
        <v>136</v>
      </c>
      <c r="B46" s="118">
        <v>258.29000000000002</v>
      </c>
    </row>
    <row r="47" spans="1:2">
      <c r="A47" s="117" t="s">
        <v>137</v>
      </c>
      <c r="B47" s="118">
        <v>296.25</v>
      </c>
    </row>
    <row r="48" spans="1:2">
      <c r="A48" s="117" t="s">
        <v>138</v>
      </c>
      <c r="B48" s="118">
        <v>393.8</v>
      </c>
    </row>
    <row r="49" spans="1:2">
      <c r="A49" s="117" t="s">
        <v>139</v>
      </c>
      <c r="B49" s="118">
        <v>162.66999999999999</v>
      </c>
    </row>
    <row r="50" spans="1:2">
      <c r="A50" s="116" t="s">
        <v>140</v>
      </c>
      <c r="B50" s="118">
        <v>399.35</v>
      </c>
    </row>
    <row r="51" spans="1:2">
      <c r="A51" s="117" t="s">
        <v>185</v>
      </c>
      <c r="B51" s="118">
        <v>456.88</v>
      </c>
    </row>
    <row r="52" spans="1:2">
      <c r="A52" s="117" t="s">
        <v>141</v>
      </c>
      <c r="B52" s="118">
        <v>576.88</v>
      </c>
    </row>
    <row r="53" spans="1:2">
      <c r="A53" s="117" t="s">
        <v>142</v>
      </c>
      <c r="B53" s="118">
        <v>1164.74</v>
      </c>
    </row>
    <row r="54" spans="1:2">
      <c r="A54" s="117" t="s">
        <v>143</v>
      </c>
      <c r="B54" s="118">
        <v>2003.12</v>
      </c>
    </row>
    <row r="55" spans="1:2">
      <c r="A55" s="117" t="s">
        <v>144</v>
      </c>
      <c r="B55" s="118">
        <v>145.31</v>
      </c>
    </row>
    <row r="56" spans="1:2">
      <c r="A56" s="117" t="s">
        <v>145</v>
      </c>
      <c r="B56" s="118">
        <v>185.72</v>
      </c>
    </row>
    <row r="57" spans="1:2">
      <c r="A57" s="117" t="s">
        <v>146</v>
      </c>
      <c r="B57" s="118">
        <v>104.29</v>
      </c>
    </row>
    <row r="58" spans="1:2">
      <c r="A58" s="117" t="s">
        <v>147</v>
      </c>
      <c r="B58" s="118">
        <v>175.82</v>
      </c>
    </row>
    <row r="59" spans="1:2">
      <c r="A59" s="117" t="s">
        <v>148</v>
      </c>
      <c r="B59" s="118">
        <v>72.650000000000006</v>
      </c>
    </row>
    <row r="60" spans="1:2">
      <c r="A60" s="120" t="s">
        <v>230</v>
      </c>
      <c r="B60" s="118">
        <v>88.66</v>
      </c>
    </row>
    <row r="61" spans="1:2">
      <c r="A61" s="117" t="s">
        <v>149</v>
      </c>
      <c r="B61" s="118">
        <v>31.75</v>
      </c>
    </row>
    <row r="62" spans="1:2">
      <c r="A62" s="119" t="s">
        <v>223</v>
      </c>
      <c r="B62" s="118">
        <v>107.05</v>
      </c>
    </row>
    <row r="63" spans="1:2">
      <c r="A63" s="117" t="s">
        <v>82</v>
      </c>
      <c r="B63" s="118">
        <v>30.61</v>
      </c>
    </row>
    <row r="64" spans="1:2">
      <c r="A64" s="117" t="s">
        <v>81</v>
      </c>
      <c r="B64" s="118">
        <v>112.06</v>
      </c>
    </row>
    <row r="65" spans="1:2" ht="14.25">
      <c r="A65" s="139" t="s">
        <v>196</v>
      </c>
      <c r="B65" s="140">
        <v>47.43</v>
      </c>
    </row>
    <row r="66" spans="1:2" ht="14.25">
      <c r="A66" s="139" t="s">
        <v>197</v>
      </c>
      <c r="B66" s="140">
        <v>56.81</v>
      </c>
    </row>
    <row r="67" spans="1:2" ht="14.25">
      <c r="A67" s="139" t="s">
        <v>198</v>
      </c>
      <c r="B67" s="140">
        <v>33.33</v>
      </c>
    </row>
    <row r="68" spans="1:2" ht="14.25">
      <c r="A68" s="139" t="s">
        <v>192</v>
      </c>
      <c r="B68" s="140">
        <v>15.96</v>
      </c>
    </row>
    <row r="69" spans="1:2" ht="14.25">
      <c r="A69" s="139" t="s">
        <v>199</v>
      </c>
      <c r="B69" s="140">
        <v>24.51</v>
      </c>
    </row>
    <row r="70" spans="1:2" ht="14.25">
      <c r="A70" s="139" t="s">
        <v>200</v>
      </c>
      <c r="B70" s="140">
        <v>16.59</v>
      </c>
    </row>
    <row r="71" spans="1:2" ht="14.25">
      <c r="A71" s="139" t="s">
        <v>201</v>
      </c>
      <c r="B71" s="140">
        <v>25.45</v>
      </c>
    </row>
    <row r="72" spans="1:2" ht="14.25">
      <c r="A72" s="139" t="s">
        <v>202</v>
      </c>
      <c r="B72" s="140">
        <v>15.96</v>
      </c>
    </row>
    <row r="73" spans="1:2" ht="14.25">
      <c r="A73" s="139" t="s">
        <v>203</v>
      </c>
      <c r="B73" s="140">
        <v>24.7</v>
      </c>
    </row>
    <row r="74" spans="1:2" ht="14.25">
      <c r="A74" s="139" t="s">
        <v>204</v>
      </c>
      <c r="B74" s="140">
        <v>16.89</v>
      </c>
    </row>
    <row r="75" spans="1:2" ht="14.25">
      <c r="A75" s="139" t="s">
        <v>205</v>
      </c>
      <c r="B75" s="140">
        <v>18.440000000000001</v>
      </c>
    </row>
    <row r="76" spans="1:2" ht="14.25">
      <c r="A76" s="139" t="s">
        <v>206</v>
      </c>
      <c r="B76" s="140">
        <v>23.61</v>
      </c>
    </row>
    <row r="77" spans="1:2" ht="14.25">
      <c r="A77" s="139" t="s">
        <v>191</v>
      </c>
      <c r="B77" s="140">
        <v>19.14</v>
      </c>
    </row>
    <row r="78" spans="1:2" ht="14.25">
      <c r="A78" s="139" t="s">
        <v>207</v>
      </c>
      <c r="B78" s="140">
        <v>26.49</v>
      </c>
    </row>
    <row r="79" spans="1:2" ht="14.25">
      <c r="A79" s="139" t="s">
        <v>208</v>
      </c>
      <c r="B79" s="140">
        <v>28.95</v>
      </c>
    </row>
    <row r="80" spans="1:2" ht="14.25">
      <c r="A80" s="139" t="s">
        <v>209</v>
      </c>
      <c r="B80" s="140">
        <v>30.15</v>
      </c>
    </row>
    <row r="81" spans="1:2" ht="14.25">
      <c r="A81" s="139" t="s">
        <v>210</v>
      </c>
      <c r="B81" s="140">
        <v>40.72</v>
      </c>
    </row>
    <row r="82" spans="1:2" ht="14.25">
      <c r="A82" s="139" t="s">
        <v>211</v>
      </c>
      <c r="B82" s="140">
        <v>44.53</v>
      </c>
    </row>
    <row r="83" spans="1:2" ht="14.25">
      <c r="A83" s="139" t="s">
        <v>83</v>
      </c>
      <c r="B83" s="140">
        <v>48.39</v>
      </c>
    </row>
    <row r="84" spans="1:2" ht="14.25">
      <c r="A84" s="139" t="s">
        <v>212</v>
      </c>
      <c r="B84" s="140">
        <v>45.14</v>
      </c>
    </row>
    <row r="85" spans="1:2" ht="14.25">
      <c r="A85" s="139" t="s">
        <v>213</v>
      </c>
      <c r="B85" s="140">
        <v>131.66</v>
      </c>
    </row>
    <row r="86" spans="1:2" ht="14.25">
      <c r="A86" s="139" t="s">
        <v>214</v>
      </c>
      <c r="B86" s="140">
        <v>156.5</v>
      </c>
    </row>
    <row r="87" spans="1:2" ht="14.25">
      <c r="A87" s="139" t="s">
        <v>215</v>
      </c>
      <c r="B87" s="140">
        <v>181.24</v>
      </c>
    </row>
    <row r="88" spans="1:2" ht="14.25">
      <c r="A88" s="139" t="s">
        <v>216</v>
      </c>
      <c r="B88" s="140">
        <v>259.12</v>
      </c>
    </row>
    <row r="89" spans="1:2" ht="14.25">
      <c r="A89" s="139" t="s">
        <v>150</v>
      </c>
      <c r="B89" s="140">
        <v>35.869999999999997</v>
      </c>
    </row>
    <row r="90" spans="1:2" ht="14.25">
      <c r="A90" s="139" t="s">
        <v>217</v>
      </c>
      <c r="B90" s="140">
        <v>31.11</v>
      </c>
    </row>
    <row r="91" spans="1:2" ht="14.25">
      <c r="A91" s="139" t="s">
        <v>218</v>
      </c>
      <c r="B91" s="140">
        <v>209.35</v>
      </c>
    </row>
    <row r="92" spans="1:2" ht="14.25">
      <c r="A92" s="139" t="s">
        <v>219</v>
      </c>
      <c r="B92" s="140">
        <v>164.23</v>
      </c>
    </row>
    <row r="93" spans="1:2" ht="14.25">
      <c r="A93" s="139" t="s">
        <v>220</v>
      </c>
      <c r="B93" s="140">
        <v>49.43</v>
      </c>
    </row>
    <row r="94" spans="1:2" ht="14.25">
      <c r="A94" s="139" t="s">
        <v>84</v>
      </c>
      <c r="B94" s="140">
        <v>59.81</v>
      </c>
    </row>
    <row r="95" spans="1:2" ht="14.25">
      <c r="A95" s="139" t="s">
        <v>193</v>
      </c>
      <c r="B95" s="140">
        <v>52.51</v>
      </c>
    </row>
    <row r="96" spans="1:2" ht="14.25">
      <c r="A96" s="139" t="s">
        <v>85</v>
      </c>
      <c r="B96" s="140">
        <v>60.91</v>
      </c>
    </row>
    <row r="97" spans="1:2" ht="14.25">
      <c r="A97" s="139" t="s">
        <v>86</v>
      </c>
      <c r="B97" s="140">
        <v>72.41</v>
      </c>
    </row>
    <row r="98" spans="1:2" ht="14.25">
      <c r="A98" s="139" t="s">
        <v>87</v>
      </c>
      <c r="B98" s="140">
        <v>82.67</v>
      </c>
    </row>
    <row r="99" spans="1:2" ht="14.25">
      <c r="A99" s="139" t="s">
        <v>88</v>
      </c>
      <c r="B99" s="140">
        <v>83.14</v>
      </c>
    </row>
    <row r="100" spans="1:2" ht="14.25">
      <c r="A100" s="36" t="s">
        <v>228</v>
      </c>
      <c r="B100" s="140">
        <v>74.099999999999994</v>
      </c>
    </row>
    <row r="101" spans="1:2">
      <c r="A101" s="139" t="s">
        <v>151</v>
      </c>
      <c r="B101" s="75">
        <v>15.83</v>
      </c>
    </row>
    <row r="102" spans="1:2">
      <c r="A102" s="141" t="s">
        <v>152</v>
      </c>
      <c r="B102" s="75">
        <v>52.49</v>
      </c>
    </row>
    <row r="103" spans="1:2">
      <c r="A103" s="141" t="s">
        <v>153</v>
      </c>
      <c r="B103" s="75">
        <v>58</v>
      </c>
    </row>
    <row r="104" spans="1:2">
      <c r="A104" s="139" t="s">
        <v>154</v>
      </c>
      <c r="B104" s="75">
        <v>23.09</v>
      </c>
    </row>
    <row r="105" spans="1:2">
      <c r="A105" s="139" t="s">
        <v>155</v>
      </c>
      <c r="B105" s="75">
        <v>19.87</v>
      </c>
    </row>
    <row r="106" spans="1:2">
      <c r="A106" s="139" t="s">
        <v>156</v>
      </c>
      <c r="B106" s="75">
        <v>20.86</v>
      </c>
    </row>
    <row r="107" spans="1:2">
      <c r="A107" s="139" t="s">
        <v>157</v>
      </c>
      <c r="B107" s="75">
        <v>52.5</v>
      </c>
    </row>
    <row r="108" spans="1:2">
      <c r="A108" s="139" t="s">
        <v>158</v>
      </c>
      <c r="B108" s="75">
        <v>19.68</v>
      </c>
    </row>
    <row r="109" spans="1:2">
      <c r="A109" s="139" t="s">
        <v>159</v>
      </c>
      <c r="B109" s="75">
        <v>21.69</v>
      </c>
    </row>
    <row r="110" spans="1:2">
      <c r="A110" s="139" t="s">
        <v>160</v>
      </c>
      <c r="B110" s="75">
        <v>21.69</v>
      </c>
    </row>
    <row r="111" spans="1:2">
      <c r="A111" s="139" t="s">
        <v>161</v>
      </c>
      <c r="B111" s="75">
        <v>24.44</v>
      </c>
    </row>
    <row r="112" spans="1:2">
      <c r="A112" s="139" t="s">
        <v>162</v>
      </c>
      <c r="B112" s="75">
        <v>19.899999999999999</v>
      </c>
    </row>
    <row r="113" spans="1:2">
      <c r="A113" s="139" t="s">
        <v>163</v>
      </c>
      <c r="B113" s="75">
        <v>20.190000000000001</v>
      </c>
    </row>
    <row r="114" spans="1:2">
      <c r="A114" s="139" t="s">
        <v>164</v>
      </c>
      <c r="B114" s="75">
        <v>22.86</v>
      </c>
    </row>
    <row r="115" spans="1:2">
      <c r="A115" s="68" t="s">
        <v>165</v>
      </c>
      <c r="B115" s="75">
        <v>79.02</v>
      </c>
    </row>
    <row r="116" spans="1:2">
      <c r="A116" s="68" t="s">
        <v>166</v>
      </c>
      <c r="B116" s="75">
        <v>78</v>
      </c>
    </row>
    <row r="117" spans="1:2">
      <c r="A117" s="68" t="s">
        <v>188</v>
      </c>
      <c r="B117" s="75">
        <v>14</v>
      </c>
    </row>
    <row r="118" spans="1:2">
      <c r="A118" s="68" t="s">
        <v>189</v>
      </c>
      <c r="B118" s="75">
        <v>21.88</v>
      </c>
    </row>
    <row r="119" spans="1:2">
      <c r="A119" s="68" t="s">
        <v>167</v>
      </c>
      <c r="B119" s="75">
        <v>20.29</v>
      </c>
    </row>
    <row r="120" spans="1:2">
      <c r="A120" s="139" t="s">
        <v>186</v>
      </c>
      <c r="B120" s="75">
        <v>12.77</v>
      </c>
    </row>
    <row r="121" spans="1:2">
      <c r="A121" s="68" t="s">
        <v>168</v>
      </c>
      <c r="B121" s="75">
        <v>7.17</v>
      </c>
    </row>
    <row r="122" spans="1:2">
      <c r="A122" s="68" t="s">
        <v>169</v>
      </c>
      <c r="B122" s="75">
        <v>9.35</v>
      </c>
    </row>
    <row r="123" spans="1:2">
      <c r="A123" s="68" t="s">
        <v>170</v>
      </c>
      <c r="B123" s="75">
        <v>12.9</v>
      </c>
    </row>
    <row r="124" spans="1:2">
      <c r="A124" s="68" t="s">
        <v>171</v>
      </c>
      <c r="B124" s="75">
        <v>21.22</v>
      </c>
    </row>
    <row r="125" spans="1:2">
      <c r="A125" s="68" t="s">
        <v>172</v>
      </c>
      <c r="B125" s="75">
        <v>26.71</v>
      </c>
    </row>
    <row r="126" spans="1:2">
      <c r="A126" s="68" t="s">
        <v>173</v>
      </c>
      <c r="B126" s="75">
        <v>32.67</v>
      </c>
    </row>
    <row r="127" spans="1:2">
      <c r="A127" s="68" t="s">
        <v>174</v>
      </c>
      <c r="B127" s="75">
        <v>23.96</v>
      </c>
    </row>
    <row r="128" spans="1:2">
      <c r="A128" s="68" t="s">
        <v>175</v>
      </c>
      <c r="B128" s="75">
        <v>47.44</v>
      </c>
    </row>
    <row r="129" spans="1:2">
      <c r="A129" s="68" t="s">
        <v>176</v>
      </c>
      <c r="B129" s="75">
        <v>32.04</v>
      </c>
    </row>
    <row r="130" spans="1:2">
      <c r="A130" s="68" t="s">
        <v>177</v>
      </c>
      <c r="B130" s="75">
        <v>74.900000000000006</v>
      </c>
    </row>
    <row r="131" spans="1:2">
      <c r="A131" s="68" t="s">
        <v>178</v>
      </c>
      <c r="B131" s="75">
        <v>7.11</v>
      </c>
    </row>
    <row r="132" spans="1:2">
      <c r="A132" s="68" t="s">
        <v>179</v>
      </c>
      <c r="B132" s="75">
        <v>3.21</v>
      </c>
    </row>
    <row r="133" spans="1:2">
      <c r="A133" s="68" t="s">
        <v>180</v>
      </c>
      <c r="B133" s="75">
        <v>9.14</v>
      </c>
    </row>
    <row r="134" spans="1:2">
      <c r="A134" s="68" t="s">
        <v>181</v>
      </c>
      <c r="B134" s="75">
        <v>13.45</v>
      </c>
    </row>
    <row r="135" spans="1:2">
      <c r="A135" s="68" t="s">
        <v>182</v>
      </c>
      <c r="B135" s="75">
        <v>13.45</v>
      </c>
    </row>
    <row r="136" spans="1:2">
      <c r="A136" s="68" t="s">
        <v>183</v>
      </c>
      <c r="B136" s="75">
        <v>35.9</v>
      </c>
    </row>
    <row r="137" spans="1:2">
      <c r="A137" s="68" t="s">
        <v>184</v>
      </c>
      <c r="B137" s="75">
        <v>40.19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7D1C-7E01-4C82-ACA5-48B0213A8E34}">
  <sheetPr>
    <pageSetUpPr fitToPage="1"/>
  </sheetPr>
  <dimension ref="A1:G101"/>
  <sheetViews>
    <sheetView workbookViewId="0">
      <selection activeCell="H15" sqref="H15"/>
    </sheetView>
  </sheetViews>
  <sheetFormatPr defaultRowHeight="12.75"/>
  <cols>
    <col min="1" max="1" width="18.140625" customWidth="1"/>
    <col min="2" max="2" width="24.140625" customWidth="1"/>
    <col min="3" max="3" width="44" customWidth="1"/>
    <col min="4" max="4" width="19.140625" customWidth="1"/>
    <col min="5" max="5" width="26.140625" customWidth="1"/>
    <col min="6" max="6" width="28.7109375" customWidth="1"/>
    <col min="7" max="7" width="18.140625" customWidth="1"/>
    <col min="9" max="9" width="28.85546875" customWidth="1"/>
  </cols>
  <sheetData>
    <row r="1" spans="1:7" ht="25.5" customHeight="1">
      <c r="A1" s="282" t="s">
        <v>314</v>
      </c>
      <c r="B1" s="282"/>
      <c r="C1" s="282"/>
      <c r="D1" s="282"/>
      <c r="E1" s="282"/>
      <c r="F1" s="282"/>
      <c r="G1" s="282"/>
    </row>
    <row r="2" spans="1:7" ht="24" customHeight="1">
      <c r="A2" s="146" t="s">
        <v>360</v>
      </c>
      <c r="B2" s="154"/>
      <c r="C2" s="146" t="s">
        <v>359</v>
      </c>
      <c r="D2" s="286"/>
      <c r="E2" s="287"/>
      <c r="F2" s="148" t="s">
        <v>356</v>
      </c>
      <c r="G2" s="147" t="s">
        <v>358</v>
      </c>
    </row>
    <row r="3" spans="1:7" ht="12" customHeight="1">
      <c r="A3" s="279"/>
      <c r="B3" s="280"/>
      <c r="C3" s="280"/>
      <c r="D3" s="280"/>
      <c r="E3" s="281"/>
      <c r="F3" s="148" t="s">
        <v>357</v>
      </c>
      <c r="G3" s="148">
        <v>0</v>
      </c>
    </row>
    <row r="4" spans="1:7" ht="3.75" customHeight="1">
      <c r="A4" s="284"/>
      <c r="B4" s="284"/>
      <c r="C4" s="284"/>
      <c r="D4" s="284"/>
      <c r="E4" s="284"/>
      <c r="F4" s="284"/>
      <c r="G4" s="284"/>
    </row>
    <row r="5" spans="1:7" ht="22.5" customHeight="1">
      <c r="A5" s="283" t="s">
        <v>322</v>
      </c>
      <c r="B5" s="283"/>
      <c r="C5" s="283"/>
      <c r="D5" s="283"/>
      <c r="E5" s="283"/>
      <c r="F5" s="283"/>
      <c r="G5" s="283"/>
    </row>
    <row r="6" spans="1:7" ht="14.25">
      <c r="A6" s="285" t="s">
        <v>355</v>
      </c>
      <c r="B6" s="149" t="s">
        <v>315</v>
      </c>
      <c r="C6" s="150" t="s">
        <v>329</v>
      </c>
      <c r="D6" s="149" t="s">
        <v>317</v>
      </c>
      <c r="E6" s="150" t="s">
        <v>337</v>
      </c>
      <c r="F6" s="149" t="s">
        <v>323</v>
      </c>
      <c r="G6" s="150" t="s">
        <v>345</v>
      </c>
    </row>
    <row r="7" spans="1:7" ht="14.25">
      <c r="A7" s="285"/>
      <c r="B7" s="149" t="s">
        <v>309</v>
      </c>
      <c r="C7" s="150" t="s">
        <v>330</v>
      </c>
      <c r="D7" s="149" t="s">
        <v>318</v>
      </c>
      <c r="E7" s="150" t="s">
        <v>338</v>
      </c>
      <c r="F7" s="149" t="s">
        <v>44</v>
      </c>
      <c r="G7" s="150" t="s">
        <v>346</v>
      </c>
    </row>
    <row r="8" spans="1:7" ht="14.25">
      <c r="A8" s="285"/>
      <c r="B8" s="149" t="s">
        <v>46</v>
      </c>
      <c r="C8" s="150" t="s">
        <v>331</v>
      </c>
      <c r="D8" s="149" t="s">
        <v>308</v>
      </c>
      <c r="E8" s="150" t="s">
        <v>339</v>
      </c>
      <c r="F8" s="149" t="s">
        <v>76</v>
      </c>
      <c r="G8" s="150" t="s">
        <v>347</v>
      </c>
    </row>
    <row r="9" spans="1:7" ht="14.25">
      <c r="A9" s="285"/>
      <c r="B9" s="149" t="s">
        <v>312</v>
      </c>
      <c r="C9" s="150" t="s">
        <v>332</v>
      </c>
      <c r="D9" s="149" t="s">
        <v>319</v>
      </c>
      <c r="E9" s="150" t="s">
        <v>340</v>
      </c>
      <c r="F9" s="149" t="s">
        <v>313</v>
      </c>
      <c r="G9" s="150" t="s">
        <v>348</v>
      </c>
    </row>
    <row r="10" spans="1:7" ht="14.25">
      <c r="A10" s="285"/>
      <c r="B10" s="149" t="s">
        <v>316</v>
      </c>
      <c r="C10" s="150" t="s">
        <v>333</v>
      </c>
      <c r="D10" s="149" t="s">
        <v>320</v>
      </c>
      <c r="E10" s="150" t="s">
        <v>341</v>
      </c>
      <c r="F10" s="149" t="s">
        <v>324</v>
      </c>
      <c r="G10" s="150" t="s">
        <v>349</v>
      </c>
    </row>
    <row r="11" spans="1:7" ht="14.25">
      <c r="A11" s="285"/>
      <c r="B11" s="149" t="s">
        <v>310</v>
      </c>
      <c r="C11" s="150" t="s">
        <v>334</v>
      </c>
      <c r="D11" s="149" t="s">
        <v>321</v>
      </c>
      <c r="E11" s="150" t="s">
        <v>342</v>
      </c>
      <c r="F11" s="149" t="s">
        <v>325</v>
      </c>
      <c r="G11" s="150" t="s">
        <v>350</v>
      </c>
    </row>
    <row r="12" spans="1:7" ht="14.25">
      <c r="A12" s="285"/>
      <c r="B12" s="149" t="s">
        <v>311</v>
      </c>
      <c r="C12" s="150" t="s">
        <v>335</v>
      </c>
      <c r="D12" s="149" t="s">
        <v>305</v>
      </c>
      <c r="E12" s="150" t="s">
        <v>343</v>
      </c>
      <c r="F12" s="149" t="s">
        <v>312</v>
      </c>
      <c r="G12" s="150" t="s">
        <v>351</v>
      </c>
    </row>
    <row r="13" spans="1:7" ht="14.25">
      <c r="A13" s="285"/>
      <c r="B13" s="149" t="s">
        <v>326</v>
      </c>
      <c r="C13" s="150" t="s">
        <v>336</v>
      </c>
      <c r="D13" s="149" t="s">
        <v>327</v>
      </c>
      <c r="E13" s="150" t="s">
        <v>344</v>
      </c>
      <c r="F13" s="149" t="s">
        <v>328</v>
      </c>
      <c r="G13" s="150" t="s">
        <v>352</v>
      </c>
    </row>
    <row r="14" spans="1:7">
      <c r="A14" s="284"/>
      <c r="B14" s="284"/>
      <c r="C14" s="284"/>
      <c r="D14" s="284"/>
      <c r="E14" s="284"/>
      <c r="F14" s="128" t="s">
        <v>195</v>
      </c>
      <c r="G14" s="145" t="s">
        <v>353</v>
      </c>
    </row>
    <row r="15" spans="1:7" ht="5.25" customHeight="1">
      <c r="A15" s="284"/>
      <c r="B15" s="284"/>
      <c r="C15" s="284"/>
      <c r="D15" s="284"/>
      <c r="E15" s="284"/>
      <c r="F15" s="284"/>
      <c r="G15" s="284"/>
    </row>
    <row r="16" spans="1:7" ht="15.75">
      <c r="A16" s="151" t="s">
        <v>354</v>
      </c>
      <c r="B16" s="151" t="s">
        <v>304</v>
      </c>
      <c r="C16" s="152" t="s">
        <v>45</v>
      </c>
      <c r="D16" s="153" t="s">
        <v>300</v>
      </c>
      <c r="E16" s="151" t="s">
        <v>303</v>
      </c>
      <c r="F16" s="151" t="s">
        <v>302</v>
      </c>
      <c r="G16" s="151" t="s">
        <v>301</v>
      </c>
    </row>
    <row r="17" spans="1:7" ht="26.25" customHeight="1">
      <c r="A17" s="128"/>
      <c r="B17" s="128"/>
      <c r="C17" s="128"/>
      <c r="D17" s="128"/>
      <c r="E17" s="128"/>
      <c r="F17" s="128"/>
      <c r="G17" s="128"/>
    </row>
    <row r="18" spans="1:7" ht="26.25" customHeight="1">
      <c r="A18" s="128"/>
      <c r="B18" s="128"/>
      <c r="C18" s="128"/>
      <c r="D18" s="128"/>
      <c r="E18" s="128"/>
      <c r="F18" s="128"/>
      <c r="G18" s="128"/>
    </row>
    <row r="19" spans="1:7" ht="26.25" customHeight="1">
      <c r="A19" s="128"/>
      <c r="B19" s="128"/>
      <c r="C19" s="128"/>
      <c r="D19" s="128"/>
      <c r="E19" s="128"/>
      <c r="F19" s="128"/>
      <c r="G19" s="128"/>
    </row>
    <row r="20" spans="1:7" ht="26.25" customHeight="1">
      <c r="A20" s="128"/>
      <c r="B20" s="128"/>
      <c r="C20" s="128"/>
      <c r="D20" s="128"/>
      <c r="E20" s="128"/>
      <c r="F20" s="128"/>
      <c r="G20" s="128"/>
    </row>
    <row r="21" spans="1:7" ht="26.25" customHeight="1">
      <c r="A21" s="128"/>
      <c r="B21" s="128"/>
      <c r="C21" s="128"/>
      <c r="D21" s="128"/>
      <c r="E21" s="128"/>
      <c r="F21" s="128"/>
      <c r="G21" s="128"/>
    </row>
    <row r="22" spans="1:7" ht="26.25" customHeight="1">
      <c r="A22" s="128"/>
      <c r="B22" s="128"/>
      <c r="C22" s="128"/>
      <c r="D22" s="128"/>
      <c r="E22" s="128"/>
      <c r="F22" s="128"/>
      <c r="G22" s="128"/>
    </row>
    <row r="23" spans="1:7" ht="26.25" customHeight="1">
      <c r="A23" s="128"/>
      <c r="B23" s="128"/>
      <c r="C23" s="128"/>
      <c r="D23" s="128"/>
      <c r="E23" s="128"/>
      <c r="F23" s="128"/>
      <c r="G23" s="128"/>
    </row>
    <row r="24" spans="1:7" ht="26.25" customHeight="1">
      <c r="A24" s="128"/>
      <c r="B24" s="128"/>
      <c r="C24" s="128"/>
      <c r="D24" s="128"/>
      <c r="E24" s="128"/>
      <c r="F24" s="128"/>
      <c r="G24" s="128"/>
    </row>
    <row r="25" spans="1:7" ht="26.25" customHeight="1">
      <c r="A25" s="128"/>
      <c r="B25" s="128"/>
      <c r="C25" s="128"/>
      <c r="D25" s="128"/>
      <c r="E25" s="128"/>
      <c r="F25" s="128"/>
      <c r="G25" s="128"/>
    </row>
    <row r="26" spans="1:7" ht="26.25" customHeight="1">
      <c r="A26" s="128"/>
      <c r="B26" s="128"/>
      <c r="C26" s="128"/>
      <c r="D26" s="128"/>
      <c r="E26" s="128"/>
      <c r="F26" s="128"/>
      <c r="G26" s="128"/>
    </row>
    <row r="27" spans="1:7" ht="26.25" customHeight="1">
      <c r="A27" s="128"/>
      <c r="B27" s="128"/>
      <c r="C27" s="128"/>
      <c r="D27" s="128"/>
      <c r="E27" s="128"/>
      <c r="F27" s="128"/>
      <c r="G27" s="128"/>
    </row>
    <row r="28" spans="1:7" ht="26.25" customHeight="1">
      <c r="A28" s="128"/>
      <c r="B28" s="128"/>
      <c r="C28" s="128"/>
      <c r="D28" s="128"/>
      <c r="E28" s="128"/>
      <c r="F28" s="128"/>
      <c r="G28" s="128"/>
    </row>
    <row r="29" spans="1:7" ht="26.25" customHeight="1">
      <c r="A29" s="128"/>
      <c r="B29" s="128"/>
      <c r="C29" s="128"/>
      <c r="D29" s="128"/>
      <c r="E29" s="128"/>
      <c r="F29" s="128"/>
      <c r="G29" s="128"/>
    </row>
    <row r="30" spans="1:7" ht="26.25" customHeight="1">
      <c r="A30" s="128"/>
      <c r="B30" s="128"/>
      <c r="C30" s="128"/>
      <c r="D30" s="128"/>
      <c r="E30" s="128"/>
      <c r="F30" s="128"/>
      <c r="G30" s="128"/>
    </row>
    <row r="31" spans="1:7" ht="26.25" customHeight="1">
      <c r="A31" s="128"/>
      <c r="B31" s="128"/>
      <c r="C31" s="128"/>
      <c r="D31" s="128"/>
      <c r="E31" s="128"/>
      <c r="F31" s="128"/>
      <c r="G31" s="128"/>
    </row>
    <row r="32" spans="1:7" ht="26.25" customHeight="1">
      <c r="A32" s="128"/>
      <c r="B32" s="128"/>
      <c r="C32" s="128"/>
      <c r="D32" s="128"/>
      <c r="E32" s="128"/>
      <c r="F32" s="128"/>
      <c r="G32" s="128"/>
    </row>
    <row r="33" spans="1:7" ht="26.25" customHeight="1">
      <c r="A33" s="128"/>
      <c r="B33" s="128"/>
      <c r="C33" s="128"/>
      <c r="D33" s="128"/>
      <c r="E33" s="128"/>
      <c r="F33" s="128"/>
      <c r="G33" s="128"/>
    </row>
    <row r="34" spans="1:7" ht="26.25" customHeight="1">
      <c r="A34" s="128"/>
      <c r="B34" s="128"/>
      <c r="C34" s="128"/>
      <c r="D34" s="128"/>
      <c r="E34" s="128"/>
      <c r="F34" s="128"/>
      <c r="G34" s="128"/>
    </row>
    <row r="35" spans="1:7" ht="26.25" customHeight="1">
      <c r="A35" s="128"/>
      <c r="B35" s="128"/>
      <c r="C35" s="128"/>
      <c r="D35" s="128"/>
      <c r="E35" s="128"/>
      <c r="F35" s="128"/>
      <c r="G35" s="128"/>
    </row>
    <row r="36" spans="1:7" ht="26.25" customHeight="1">
      <c r="A36" s="128"/>
      <c r="B36" s="128"/>
      <c r="C36" s="128"/>
      <c r="D36" s="128"/>
      <c r="E36" s="128"/>
      <c r="F36" s="128"/>
      <c r="G36" s="128"/>
    </row>
    <row r="37" spans="1:7" ht="26.25" customHeight="1">
      <c r="A37" s="128"/>
      <c r="B37" s="128"/>
      <c r="C37" s="128"/>
      <c r="D37" s="128"/>
      <c r="E37" s="128"/>
      <c r="F37" s="128"/>
      <c r="G37" s="128"/>
    </row>
    <row r="38" spans="1:7" ht="26.25" customHeight="1">
      <c r="A38" s="128"/>
      <c r="B38" s="128"/>
      <c r="C38" s="128"/>
      <c r="D38" s="128"/>
      <c r="E38" s="128"/>
      <c r="F38" s="128"/>
      <c r="G38" s="128"/>
    </row>
    <row r="39" spans="1:7" ht="26.25" customHeight="1">
      <c r="A39" s="128"/>
      <c r="B39" s="128"/>
      <c r="C39" s="128"/>
      <c r="D39" s="128"/>
      <c r="E39" s="128"/>
      <c r="F39" s="128"/>
      <c r="G39" s="128"/>
    </row>
    <row r="40" spans="1:7" ht="26.25" customHeight="1">
      <c r="A40" s="128"/>
      <c r="B40" s="128"/>
      <c r="C40" s="128"/>
      <c r="D40" s="128"/>
      <c r="E40" s="128"/>
      <c r="F40" s="128"/>
      <c r="G40" s="128"/>
    </row>
    <row r="41" spans="1:7" ht="26.25" customHeight="1">
      <c r="A41" s="128"/>
      <c r="B41" s="128"/>
      <c r="C41" s="128"/>
      <c r="D41" s="128"/>
      <c r="E41" s="128"/>
      <c r="F41" s="128"/>
      <c r="G41" s="128"/>
    </row>
    <row r="42" spans="1:7" ht="26.25" customHeight="1">
      <c r="A42" s="128"/>
      <c r="B42" s="128"/>
      <c r="C42" s="128"/>
      <c r="D42" s="128"/>
      <c r="E42" s="128"/>
      <c r="F42" s="128"/>
      <c r="G42" s="128"/>
    </row>
    <row r="43" spans="1:7" ht="26.25" customHeight="1">
      <c r="A43" s="128"/>
      <c r="B43" s="128"/>
      <c r="C43" s="128"/>
      <c r="D43" s="128"/>
      <c r="E43" s="128"/>
      <c r="F43" s="128"/>
      <c r="G43" s="128"/>
    </row>
    <row r="44" spans="1:7" ht="26.25" customHeight="1">
      <c r="A44" s="128"/>
      <c r="B44" s="128"/>
      <c r="C44" s="128"/>
      <c r="D44" s="128"/>
      <c r="E44" s="128"/>
      <c r="F44" s="128"/>
      <c r="G44" s="128"/>
    </row>
    <row r="45" spans="1:7" ht="26.25" customHeight="1">
      <c r="A45" s="128"/>
      <c r="B45" s="128"/>
      <c r="C45" s="128"/>
      <c r="D45" s="128"/>
      <c r="E45" s="128"/>
      <c r="F45" s="128"/>
      <c r="G45" s="128"/>
    </row>
    <row r="46" spans="1:7" ht="26.25" customHeight="1">
      <c r="A46" s="128"/>
      <c r="B46" s="128"/>
      <c r="C46" s="128"/>
      <c r="D46" s="128"/>
      <c r="E46" s="128"/>
      <c r="F46" s="128"/>
      <c r="G46" s="128"/>
    </row>
    <row r="47" spans="1:7" ht="26.25" customHeight="1">
      <c r="A47" s="128"/>
      <c r="B47" s="128"/>
      <c r="C47" s="128"/>
      <c r="D47" s="128"/>
      <c r="E47" s="128"/>
      <c r="F47" s="128"/>
      <c r="G47" s="128"/>
    </row>
    <row r="48" spans="1:7" ht="26.25" customHeight="1">
      <c r="A48" s="128"/>
      <c r="B48" s="128"/>
      <c r="C48" s="128"/>
      <c r="D48" s="128"/>
      <c r="E48" s="128"/>
      <c r="F48" s="128"/>
      <c r="G48" s="128"/>
    </row>
    <row r="49" spans="1:7" ht="26.25" customHeight="1">
      <c r="A49" s="128"/>
      <c r="B49" s="128"/>
      <c r="C49" s="128"/>
      <c r="D49" s="128"/>
      <c r="E49" s="128"/>
      <c r="F49" s="128"/>
      <c r="G49" s="128"/>
    </row>
    <row r="50" spans="1:7" ht="26.25" customHeight="1">
      <c r="A50" s="128"/>
      <c r="B50" s="128"/>
      <c r="C50" s="128"/>
      <c r="D50" s="128"/>
      <c r="E50" s="128"/>
      <c r="F50" s="128"/>
      <c r="G50" s="128"/>
    </row>
    <row r="51" spans="1:7" ht="26.25" customHeight="1">
      <c r="A51" s="128"/>
      <c r="B51" s="128"/>
      <c r="C51" s="128"/>
      <c r="D51" s="128"/>
      <c r="E51" s="128"/>
      <c r="F51" s="128"/>
      <c r="G51" s="128"/>
    </row>
    <row r="52" spans="1:7" ht="26.25" customHeight="1">
      <c r="A52" s="128"/>
      <c r="B52" s="128"/>
      <c r="C52" s="128"/>
      <c r="D52" s="128"/>
      <c r="E52" s="128"/>
      <c r="F52" s="128"/>
      <c r="G52" s="128"/>
    </row>
    <row r="53" spans="1:7" ht="26.25" customHeight="1">
      <c r="A53" s="128"/>
      <c r="B53" s="128"/>
      <c r="C53" s="128"/>
      <c r="D53" s="128"/>
      <c r="E53" s="128"/>
      <c r="F53" s="128"/>
      <c r="G53" s="128"/>
    </row>
    <row r="54" spans="1:7" ht="26.25" customHeight="1">
      <c r="A54" s="128"/>
      <c r="B54" s="128"/>
      <c r="C54" s="128"/>
      <c r="D54" s="128"/>
      <c r="E54" s="128"/>
      <c r="F54" s="128"/>
      <c r="G54" s="128"/>
    </row>
    <row r="55" spans="1:7" ht="26.25" customHeight="1">
      <c r="A55" s="128"/>
      <c r="B55" s="128"/>
      <c r="C55" s="128"/>
      <c r="D55" s="128"/>
      <c r="E55" s="128"/>
      <c r="F55" s="128"/>
      <c r="G55" s="128"/>
    </row>
    <row r="56" spans="1:7" ht="26.25" customHeight="1">
      <c r="A56" s="128"/>
      <c r="B56" s="128"/>
      <c r="C56" s="128"/>
      <c r="D56" s="128"/>
      <c r="E56" s="128"/>
      <c r="F56" s="128"/>
      <c r="G56" s="128"/>
    </row>
    <row r="57" spans="1:7" ht="26.25" customHeight="1">
      <c r="A57" s="128"/>
      <c r="B57" s="128"/>
      <c r="C57" s="128"/>
      <c r="D57" s="128"/>
      <c r="E57" s="128"/>
      <c r="F57" s="128"/>
      <c r="G57" s="128"/>
    </row>
    <row r="58" spans="1:7" ht="26.25" customHeight="1">
      <c r="A58" s="128"/>
      <c r="B58" s="128"/>
      <c r="C58" s="128"/>
      <c r="D58" s="128"/>
      <c r="E58" s="128"/>
      <c r="F58" s="128"/>
      <c r="G58" s="128"/>
    </row>
    <row r="59" spans="1:7" ht="26.25" customHeight="1">
      <c r="A59" s="128"/>
      <c r="B59" s="128"/>
      <c r="C59" s="128"/>
      <c r="D59" s="128"/>
      <c r="E59" s="128"/>
      <c r="F59" s="128"/>
      <c r="G59" s="128"/>
    </row>
    <row r="60" spans="1:7" ht="26.25" customHeight="1">
      <c r="A60" s="128"/>
      <c r="B60" s="128"/>
      <c r="C60" s="128"/>
      <c r="D60" s="128"/>
      <c r="E60" s="128"/>
      <c r="F60" s="128"/>
      <c r="G60" s="128"/>
    </row>
    <row r="61" spans="1:7" ht="26.25" customHeight="1">
      <c r="A61" s="128"/>
      <c r="B61" s="128"/>
      <c r="C61" s="128"/>
      <c r="D61" s="128"/>
      <c r="E61" s="128"/>
      <c r="F61" s="128"/>
      <c r="G61" s="128"/>
    </row>
    <row r="62" spans="1:7" ht="26.25" customHeight="1">
      <c r="A62" s="128"/>
      <c r="B62" s="128"/>
      <c r="C62" s="128"/>
      <c r="D62" s="128"/>
      <c r="E62" s="128"/>
      <c r="F62" s="128"/>
      <c r="G62" s="128"/>
    </row>
    <row r="63" spans="1:7" ht="26.25" customHeight="1">
      <c r="A63" s="128"/>
      <c r="B63" s="128"/>
      <c r="C63" s="128"/>
      <c r="D63" s="128"/>
      <c r="E63" s="128"/>
      <c r="F63" s="128"/>
      <c r="G63" s="128"/>
    </row>
    <row r="64" spans="1:7" ht="26.25" customHeight="1">
      <c r="A64" s="128"/>
      <c r="B64" s="128"/>
      <c r="C64" s="128"/>
      <c r="D64" s="128"/>
      <c r="E64" s="128"/>
      <c r="F64" s="128"/>
      <c r="G64" s="128"/>
    </row>
    <row r="65" spans="1:7" ht="26.25" customHeight="1">
      <c r="A65" s="128"/>
      <c r="B65" s="128"/>
      <c r="C65" s="128"/>
      <c r="D65" s="128"/>
      <c r="E65" s="128"/>
      <c r="F65" s="128"/>
      <c r="G65" s="128"/>
    </row>
    <row r="66" spans="1:7" ht="26.25" customHeight="1">
      <c r="A66" s="128"/>
      <c r="B66" s="128"/>
      <c r="C66" s="128"/>
      <c r="D66" s="128"/>
      <c r="E66" s="128"/>
      <c r="F66" s="128"/>
      <c r="G66" s="128"/>
    </row>
    <row r="67" spans="1:7" ht="26.25" customHeight="1">
      <c r="A67" s="128"/>
      <c r="B67" s="128"/>
      <c r="C67" s="128"/>
      <c r="D67" s="128"/>
      <c r="E67" s="128"/>
      <c r="F67" s="128"/>
      <c r="G67" s="128"/>
    </row>
    <row r="68" spans="1:7" ht="26.25" customHeight="1">
      <c r="A68" s="128"/>
      <c r="B68" s="128"/>
      <c r="C68" s="128"/>
      <c r="D68" s="128"/>
      <c r="E68" s="128"/>
      <c r="F68" s="128"/>
      <c r="G68" s="128"/>
    </row>
    <row r="69" spans="1:7" ht="26.25" customHeight="1">
      <c r="A69" s="128"/>
      <c r="B69" s="128"/>
      <c r="C69" s="128"/>
      <c r="D69" s="128"/>
      <c r="E69" s="128"/>
      <c r="F69" s="128"/>
      <c r="G69" s="128"/>
    </row>
    <row r="70" spans="1:7" ht="26.25" customHeight="1">
      <c r="A70" s="128"/>
      <c r="B70" s="128"/>
      <c r="C70" s="128"/>
      <c r="D70" s="128"/>
      <c r="E70" s="128"/>
      <c r="F70" s="128"/>
      <c r="G70" s="128"/>
    </row>
    <row r="71" spans="1:7" ht="26.25" customHeight="1">
      <c r="A71" s="128"/>
      <c r="B71" s="128"/>
      <c r="C71" s="128"/>
      <c r="D71" s="128"/>
      <c r="E71" s="128"/>
      <c r="F71" s="128"/>
      <c r="G71" s="128"/>
    </row>
    <row r="72" spans="1:7" ht="26.25" customHeight="1">
      <c r="A72" s="128"/>
      <c r="B72" s="128"/>
      <c r="C72" s="128"/>
      <c r="D72" s="128"/>
      <c r="E72" s="128"/>
      <c r="F72" s="128"/>
      <c r="G72" s="128"/>
    </row>
    <row r="73" spans="1:7" ht="26.25" customHeight="1">
      <c r="A73" s="128"/>
      <c r="B73" s="128"/>
      <c r="C73" s="128"/>
      <c r="D73" s="128"/>
      <c r="E73" s="128"/>
      <c r="F73" s="128"/>
      <c r="G73" s="128"/>
    </row>
    <row r="74" spans="1:7" ht="26.25" customHeight="1">
      <c r="A74" s="128"/>
      <c r="B74" s="128"/>
      <c r="C74" s="128"/>
      <c r="D74" s="128"/>
      <c r="E74" s="128"/>
      <c r="F74" s="128"/>
      <c r="G74" s="128"/>
    </row>
    <row r="75" spans="1:7" ht="26.25" customHeight="1">
      <c r="A75" s="128"/>
      <c r="B75" s="128"/>
      <c r="C75" s="128"/>
      <c r="D75" s="128"/>
      <c r="E75" s="128"/>
      <c r="F75" s="128"/>
      <c r="G75" s="128"/>
    </row>
    <row r="76" spans="1:7" ht="26.25" customHeight="1">
      <c r="A76" s="128"/>
      <c r="B76" s="128"/>
      <c r="C76" s="128"/>
      <c r="D76" s="128"/>
      <c r="E76" s="128"/>
      <c r="F76" s="128"/>
      <c r="G76" s="128"/>
    </row>
    <row r="77" spans="1:7" ht="26.25" customHeight="1">
      <c r="A77" s="128"/>
      <c r="B77" s="128"/>
      <c r="C77" s="128"/>
      <c r="D77" s="128"/>
      <c r="E77" s="128"/>
      <c r="F77" s="128"/>
      <c r="G77" s="128"/>
    </row>
    <row r="78" spans="1:7" ht="26.25" customHeight="1">
      <c r="A78" s="128"/>
      <c r="B78" s="128"/>
      <c r="C78" s="128"/>
      <c r="D78" s="128"/>
      <c r="E78" s="128"/>
      <c r="F78" s="128"/>
      <c r="G78" s="128"/>
    </row>
    <row r="79" spans="1:7" ht="26.25" customHeight="1">
      <c r="A79" s="128"/>
      <c r="B79" s="128"/>
      <c r="C79" s="128"/>
      <c r="D79" s="128"/>
      <c r="E79" s="128"/>
      <c r="F79" s="128"/>
      <c r="G79" s="128"/>
    </row>
    <row r="80" spans="1:7" ht="26.25" customHeight="1">
      <c r="A80" s="128"/>
      <c r="B80" s="128"/>
      <c r="C80" s="128"/>
      <c r="D80" s="128"/>
      <c r="E80" s="128"/>
      <c r="F80" s="128"/>
      <c r="G80" s="128"/>
    </row>
    <row r="81" spans="1:7" ht="26.25" customHeight="1">
      <c r="A81" s="128"/>
      <c r="B81" s="128"/>
      <c r="C81" s="128"/>
      <c r="D81" s="128"/>
      <c r="E81" s="128"/>
      <c r="F81" s="128"/>
      <c r="G81" s="128"/>
    </row>
    <row r="82" spans="1:7" ht="26.25" customHeight="1">
      <c r="A82" s="128"/>
      <c r="B82" s="128"/>
      <c r="C82" s="128"/>
      <c r="D82" s="128"/>
      <c r="E82" s="128"/>
      <c r="F82" s="128"/>
      <c r="G82" s="128"/>
    </row>
    <row r="83" spans="1:7" ht="26.25" customHeight="1">
      <c r="A83" s="128"/>
      <c r="B83" s="128"/>
      <c r="C83" s="128"/>
      <c r="D83" s="128"/>
      <c r="E83" s="128"/>
      <c r="F83" s="128"/>
      <c r="G83" s="128"/>
    </row>
    <row r="84" spans="1:7" ht="26.25" customHeight="1">
      <c r="A84" s="128"/>
      <c r="B84" s="128"/>
      <c r="C84" s="128"/>
      <c r="D84" s="128"/>
      <c r="E84" s="128"/>
      <c r="F84" s="128"/>
      <c r="G84" s="128"/>
    </row>
    <row r="85" spans="1:7" ht="15" customHeight="1">
      <c r="A85" s="128"/>
      <c r="B85" s="128"/>
      <c r="C85" s="128"/>
      <c r="D85" s="128"/>
      <c r="E85" s="128"/>
      <c r="F85" s="128"/>
      <c r="G85" s="128"/>
    </row>
    <row r="86" spans="1:7" ht="15" customHeight="1">
      <c r="A86" s="128"/>
      <c r="B86" s="128"/>
      <c r="C86" s="128"/>
      <c r="D86" s="128"/>
      <c r="E86" s="128"/>
      <c r="F86" s="128"/>
      <c r="G86" s="128"/>
    </row>
    <row r="87" spans="1:7" ht="15" customHeight="1">
      <c r="A87" s="128"/>
      <c r="B87" s="128"/>
      <c r="C87" s="128"/>
      <c r="D87" s="128"/>
      <c r="E87" s="128"/>
      <c r="F87" s="128"/>
      <c r="G87" s="128"/>
    </row>
    <row r="88" spans="1:7" ht="15" customHeight="1">
      <c r="A88" s="128"/>
      <c r="B88" s="128"/>
      <c r="C88" s="128"/>
      <c r="D88" s="128"/>
      <c r="E88" s="128"/>
      <c r="F88" s="128"/>
      <c r="G88" s="128"/>
    </row>
    <row r="89" spans="1:7" ht="15" customHeight="1">
      <c r="A89" s="128"/>
      <c r="B89" s="128"/>
      <c r="C89" s="128"/>
      <c r="D89" s="128"/>
      <c r="E89" s="128"/>
      <c r="F89" s="128"/>
      <c r="G89" s="128"/>
    </row>
    <row r="90" spans="1:7" ht="15" customHeight="1">
      <c r="A90" s="128"/>
      <c r="B90" s="128"/>
      <c r="C90" s="128"/>
      <c r="D90" s="128"/>
      <c r="E90" s="128"/>
      <c r="F90" s="128"/>
      <c r="G90" s="128"/>
    </row>
    <row r="91" spans="1:7" ht="15" customHeight="1">
      <c r="A91" s="128"/>
      <c r="B91" s="128"/>
      <c r="C91" s="128"/>
      <c r="D91" s="128"/>
      <c r="E91" s="128"/>
      <c r="F91" s="128"/>
      <c r="G91" s="128"/>
    </row>
    <row r="92" spans="1:7" ht="15" customHeight="1">
      <c r="A92" s="128"/>
      <c r="B92" s="128"/>
      <c r="C92" s="128"/>
      <c r="D92" s="128"/>
      <c r="E92" s="128"/>
      <c r="F92" s="128"/>
      <c r="G92" s="128"/>
    </row>
    <row r="93" spans="1:7" ht="15" customHeight="1">
      <c r="A93" s="128"/>
      <c r="B93" s="128"/>
      <c r="C93" s="128"/>
      <c r="D93" s="128"/>
      <c r="E93" s="128"/>
      <c r="F93" s="128"/>
      <c r="G93" s="128"/>
    </row>
    <row r="94" spans="1:7" ht="15" customHeight="1">
      <c r="A94" s="128"/>
      <c r="B94" s="128"/>
      <c r="C94" s="128"/>
      <c r="D94" s="128"/>
      <c r="E94" s="128"/>
      <c r="F94" s="128"/>
      <c r="G94" s="128"/>
    </row>
    <row r="95" spans="1:7" ht="15" customHeight="1">
      <c r="A95" s="128"/>
      <c r="B95" s="128"/>
      <c r="C95" s="128"/>
      <c r="D95" s="128"/>
      <c r="E95" s="128"/>
      <c r="F95" s="128"/>
      <c r="G95" s="128"/>
    </row>
    <row r="96" spans="1:7" ht="15" customHeight="1">
      <c r="A96" s="128"/>
      <c r="B96" s="128"/>
      <c r="C96" s="128"/>
      <c r="D96" s="128"/>
      <c r="E96" s="128"/>
      <c r="F96" s="128"/>
      <c r="G96" s="128"/>
    </row>
    <row r="97" spans="1:7" ht="15" customHeight="1">
      <c r="A97" s="128"/>
      <c r="B97" s="128"/>
      <c r="C97" s="128"/>
      <c r="D97" s="128"/>
      <c r="E97" s="128"/>
      <c r="F97" s="128"/>
      <c r="G97" s="128"/>
    </row>
    <row r="98" spans="1:7" ht="15" customHeight="1">
      <c r="A98" s="128"/>
      <c r="B98" s="128"/>
      <c r="C98" s="128"/>
      <c r="D98" s="128"/>
      <c r="E98" s="128"/>
      <c r="F98" s="128"/>
      <c r="G98" s="128"/>
    </row>
    <row r="99" spans="1:7" ht="15" customHeight="1">
      <c r="A99" s="128"/>
      <c r="B99" s="128"/>
      <c r="C99" s="128"/>
      <c r="D99" s="128"/>
      <c r="E99" s="128"/>
      <c r="F99" s="128"/>
      <c r="G99" s="128"/>
    </row>
    <row r="100" spans="1:7" ht="15" customHeight="1">
      <c r="A100" s="128"/>
      <c r="B100" s="128"/>
      <c r="C100" s="128"/>
      <c r="D100" s="128"/>
      <c r="E100" s="128"/>
      <c r="F100" s="128"/>
      <c r="G100" s="128"/>
    </row>
    <row r="101" spans="1:7" ht="15" customHeight="1">
      <c r="A101" s="128"/>
      <c r="B101" s="128"/>
      <c r="C101" s="128"/>
      <c r="D101" s="128"/>
      <c r="E101" s="128"/>
      <c r="F101" s="128"/>
      <c r="G101" s="128"/>
    </row>
  </sheetData>
  <mergeCells count="8">
    <mergeCell ref="A3:E3"/>
    <mergeCell ref="A1:G1"/>
    <mergeCell ref="A5:G5"/>
    <mergeCell ref="A4:G4"/>
    <mergeCell ref="A15:G15"/>
    <mergeCell ref="A14:E14"/>
    <mergeCell ref="A6:A13"/>
    <mergeCell ref="D2:E2"/>
  </mergeCells>
  <phoneticPr fontId="6" type="noConversion"/>
  <pageMargins left="0.7" right="0.7" top="0.75" bottom="0.75" header="0.3" footer="0.3"/>
  <pageSetup scale="51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30C3-C5E0-42E1-BADA-307521041F3A}">
  <dimension ref="A1:B6"/>
  <sheetViews>
    <sheetView workbookViewId="0">
      <selection activeCell="D29" sqref="D29"/>
    </sheetView>
  </sheetViews>
  <sheetFormatPr defaultRowHeight="12.75"/>
  <cols>
    <col min="1" max="1" width="13.85546875" bestFit="1" customWidth="1"/>
    <col min="2" max="2" width="12.5703125" bestFit="1" customWidth="1"/>
    <col min="3" max="3" width="14.42578125" bestFit="1" customWidth="1"/>
    <col min="4" max="4" width="11.7109375" bestFit="1" customWidth="1"/>
  </cols>
  <sheetData>
    <row r="1" spans="1:2">
      <c r="A1" s="135" t="s">
        <v>190</v>
      </c>
      <c r="B1" s="136">
        <v>2025</v>
      </c>
    </row>
    <row r="3" spans="1:2">
      <c r="A3" s="135" t="s">
        <v>293</v>
      </c>
      <c r="B3" t="s">
        <v>295</v>
      </c>
    </row>
    <row r="4" spans="1:2">
      <c r="A4" s="136" t="s">
        <v>367</v>
      </c>
      <c r="B4" s="137">
        <v>2</v>
      </c>
    </row>
    <row r="5" spans="1:2">
      <c r="A5" s="136" t="s">
        <v>363</v>
      </c>
      <c r="B5" s="137">
        <v>0</v>
      </c>
    </row>
    <row r="6" spans="1:2">
      <c r="A6" s="136" t="s">
        <v>294</v>
      </c>
      <c r="B6" s="137">
        <v>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7F1712A6-BE32-4373-AAEB-339524180BC8}">
  <ds:schemaRefs/>
</ds:datastoreItem>
</file>

<file path=customXml/itemProps2.xml><?xml version="1.0" encoding="utf-8"?>
<ds:datastoreItem xmlns:ds="http://schemas.openxmlformats.org/officeDocument/2006/customXml" ds:itemID="{58E59BAF-00E0-4863-8774-F48B031EDAB4}">
  <ds:schemaRefs/>
</ds:datastoreItem>
</file>

<file path=customXml/itemProps3.xml><?xml version="1.0" encoding="utf-8"?>
<ds:datastoreItem xmlns:ds="http://schemas.openxmlformats.org/officeDocument/2006/customXml" ds:itemID="{8D978377-416F-4742-BF5E-259BB76920D7}">
  <ds:schemaRefs/>
</ds:datastoreItem>
</file>

<file path=customXml/itemProps4.xml><?xml version="1.0" encoding="utf-8"?>
<ds:datastoreItem xmlns:ds="http://schemas.openxmlformats.org/officeDocument/2006/customXml" ds:itemID="{498A2833-00DA-48C2-8E27-DD54EF24EF7B}">
  <ds:schemaRefs/>
</ds:datastoreItem>
</file>

<file path=customXml/itemProps5.xml><?xml version="1.0" encoding="utf-8"?>
<ds:datastoreItem xmlns:ds="http://schemas.openxmlformats.org/officeDocument/2006/customXml" ds:itemID="{A4DA0EC5-01BA-47C5-A410-26BA5FEE66C7}">
  <ds:schemaRefs/>
</ds:datastoreItem>
</file>

<file path=customXml/itemProps6.xml><?xml version="1.0" encoding="utf-8"?>
<ds:datastoreItem xmlns:ds="http://schemas.openxmlformats.org/officeDocument/2006/customXml" ds:itemID="{A9E850C2-DA0E-4E2D-AB01-B70593EC453E}">
  <ds:schemaRefs/>
</ds:datastoreItem>
</file>

<file path=customXml/itemProps7.xml><?xml version="1.0" encoding="utf-8"?>
<ds:datastoreItem xmlns:ds="http://schemas.openxmlformats.org/officeDocument/2006/customXml" ds:itemID="{E2AA6244-B673-4F32-A4E3-7F164DF153C0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42E6A3B0-495B-4F05-9B65-65884A5D4F40}">
  <ds:schemaRefs/>
</ds:datastoreItem>
</file>

<file path=customXml/itemProps9.xml><?xml version="1.0" encoding="utf-8"?>
<ds:datastoreItem xmlns:ds="http://schemas.openxmlformats.org/officeDocument/2006/customXml" ds:itemID="{30D42496-A0A8-4B13-8CBD-EDF9FDDD69B6}">
  <ds:schemaRefs/>
</ds:datastoreItem>
</file>

<file path=customXml/itemProps10.xml><?xml version="1.0" encoding="utf-8"?>
<ds:datastoreItem xmlns:ds="http://schemas.openxmlformats.org/officeDocument/2006/customXml" ds:itemID="{ACBEED1E-9DA2-4387-A509-1CBFC5375167}">
  <ds:schemaRefs/>
</ds:datastoreItem>
</file>

<file path=customXml/itemProps11.xml><?xml version="1.0" encoding="utf-8"?>
<ds:datastoreItem xmlns:ds="http://schemas.openxmlformats.org/officeDocument/2006/customXml" ds:itemID="{7CCC074B-7FE1-4A95-8F4E-F28305B1DF8C}">
  <ds:schemaRefs/>
</ds:datastoreItem>
</file>

<file path=customXml/itemProps12.xml><?xml version="1.0" encoding="utf-8"?>
<ds:datastoreItem xmlns:ds="http://schemas.openxmlformats.org/officeDocument/2006/customXml" ds:itemID="{CD561389-1B62-4246-A6C6-E72E7AEAEDFC}">
  <ds:schemaRefs/>
</ds:datastoreItem>
</file>

<file path=customXml/itemProps13.xml><?xml version="1.0" encoding="utf-8"?>
<ds:datastoreItem xmlns:ds="http://schemas.openxmlformats.org/officeDocument/2006/customXml" ds:itemID="{89E36F92-6BE4-40B5-B7BC-EC35571550F8}">
  <ds:schemaRefs/>
</ds:datastoreItem>
</file>

<file path=customXml/itemProps14.xml><?xml version="1.0" encoding="utf-8"?>
<ds:datastoreItem xmlns:ds="http://schemas.openxmlformats.org/officeDocument/2006/customXml" ds:itemID="{3F50D9DC-C610-4F0A-A2C0-4EB41724F6B3}">
  <ds:schemaRefs/>
</ds:datastoreItem>
</file>

<file path=customXml/itemProps15.xml><?xml version="1.0" encoding="utf-8"?>
<ds:datastoreItem xmlns:ds="http://schemas.openxmlformats.org/officeDocument/2006/customXml" ds:itemID="{0B89107E-90DC-43FE-B32B-D0DE9E3A09B4}">
  <ds:schemaRefs/>
</ds:datastoreItem>
</file>

<file path=customXml/itemProps16.xml><?xml version="1.0" encoding="utf-8"?>
<ds:datastoreItem xmlns:ds="http://schemas.openxmlformats.org/officeDocument/2006/customXml" ds:itemID="{F98D9D7E-B64A-458D-A84F-ADDA541D113D}">
  <ds:schemaRefs/>
</ds:datastoreItem>
</file>

<file path=customXml/itemProps17.xml><?xml version="1.0" encoding="utf-8"?>
<ds:datastoreItem xmlns:ds="http://schemas.openxmlformats.org/officeDocument/2006/customXml" ds:itemID="{BCD41D10-593C-4886-927E-BA51AC59527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DASHBOARD</vt:lpstr>
      <vt:lpstr>Injury.Dept</vt:lpstr>
      <vt:lpstr>Firstaid</vt:lpstr>
      <vt:lpstr>Injury type</vt:lpstr>
      <vt:lpstr>DATATABLE</vt:lpstr>
      <vt:lpstr>LTI</vt:lpstr>
      <vt:lpstr>LTIs.MONTH</vt:lpstr>
      <vt:lpstr>IOD TIMELOST</vt:lpstr>
      <vt:lpstr>Day of incident</vt:lpstr>
      <vt:lpstr>NO OF IOD</vt:lpstr>
      <vt:lpstr>SAFETY DATA</vt:lpstr>
      <vt:lpstr>Day of incident (2)</vt:lpstr>
      <vt:lpstr>Safety</vt:lpstr>
      <vt:lpstr>Part Values</vt:lpstr>
      <vt:lpstr>Master Sheet</vt:lpstr>
      <vt:lpstr>Incident Category</vt:lpstr>
      <vt:lpstr>DASHBOARD!Print_Area</vt:lpstr>
      <vt:lpstr>Safety!Print_Area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Catharina Lourens</dc:creator>
  <cp:lastModifiedBy>Tumi Masilela</cp:lastModifiedBy>
  <cp:lastPrinted>2025-05-13T11:35:07Z</cp:lastPrinted>
  <dcterms:created xsi:type="dcterms:W3CDTF">2007-03-02T10:24:39Z</dcterms:created>
  <dcterms:modified xsi:type="dcterms:W3CDTF">2026-02-12T09:31:05Z</dcterms:modified>
</cp:coreProperties>
</file>